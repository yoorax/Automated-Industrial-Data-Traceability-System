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chid\Downloads\Travail-20251207T152944Z-1-001\Travail\version final\"/>
    </mc:Choice>
  </mc:AlternateContent>
  <xr:revisionPtr revIDLastSave="0" documentId="13_ncr:1_{6CFECAA2-1B23-419A-A1D2-A362CF2F5C5A}" xr6:coauthVersionLast="47" xr6:coauthVersionMax="47" xr10:uidLastSave="{00000000-0000-0000-0000-000000000000}"/>
  <bookViews>
    <workbookView xWindow="-120" yWindow="-120" windowWidth="20730" windowHeight="11160" firstSheet="2" activeTab="5" xr2:uid="{98A90A26-D454-4C76-ABE7-C6194A150C9F}"/>
  </bookViews>
  <sheets>
    <sheet name="Formulaire_Sacs_Produit" sheetId="9" r:id="rId1"/>
    <sheet name="Formulaire_Arrets_Planifier" sheetId="8" r:id="rId2"/>
    <sheet name="Formulaire_Arrets_Non_Planifier" sheetId="10" r:id="rId3"/>
    <sheet name="Sacs_Produit" sheetId="3" r:id="rId4"/>
    <sheet name="Arrets_Planifier" sheetId="2" r:id="rId5"/>
    <sheet name="Arrets_Non_Planifier" sheetId="1" r:id="rId6"/>
    <sheet name="Donnees" sheetId="5" r:id="rId7"/>
    <sheet name="Cycle_Production" sheetId="4" r:id="rId8"/>
    <sheet name="KPIs_Production" sheetId="7" r:id="rId9"/>
    <sheet name="KPIs_Maintenance" sheetId="6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T40" i="1" l="1"/>
  <c r="AT44" i="1"/>
  <c r="AT43" i="1"/>
  <c r="AT42" i="1"/>
  <c r="AT41" i="1"/>
  <c r="T21" i="10"/>
  <c r="T20" i="10"/>
  <c r="T19" i="10"/>
  <c r="T18" i="10"/>
  <c r="T17" i="10"/>
  <c r="T16" i="10"/>
  <c r="T15" i="10"/>
  <c r="T14" i="10"/>
  <c r="T13" i="10"/>
  <c r="T12" i="10"/>
  <c r="T11" i="10"/>
  <c r="O11" i="9"/>
  <c r="O10" i="9"/>
  <c r="O9" i="9"/>
  <c r="O8" i="9"/>
  <c r="O7" i="9"/>
  <c r="P19" i="8"/>
  <c r="O14" i="8"/>
  <c r="O13" i="8"/>
  <c r="O12" i="8"/>
  <c r="O11" i="8"/>
  <c r="O10" i="8"/>
  <c r="O9" i="8"/>
  <c r="O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21A65B-96B7-4F30-B370-F6D46B14C284}" keepAlive="1" name="Query - ANP" description="Connection to the 'ANP' query in the workbook." type="5" refreshedVersion="7" background="1" saveData="1">
    <dbPr connection="Provider=Microsoft.Mashup.OleDb.1;Data Source=$Workbook$;Location=ANP;Extended Properties=&quot;&quot;" command="SELECT * FROM [ANP]"/>
  </connection>
</connections>
</file>

<file path=xl/sharedStrings.xml><?xml version="1.0" encoding="utf-8"?>
<sst xmlns="http://schemas.openxmlformats.org/spreadsheetml/2006/main" count="251" uniqueCount="204">
  <si>
    <t xml:space="preserve">Cycle </t>
  </si>
  <si>
    <t>Arret</t>
  </si>
  <si>
    <t>Commentaire</t>
  </si>
  <si>
    <t>Cycle</t>
  </si>
  <si>
    <t>Sacs</t>
  </si>
  <si>
    <t>Palettes</t>
  </si>
  <si>
    <t>Arret Planifier</t>
  </si>
  <si>
    <t>TempsRequis</t>
  </si>
  <si>
    <t>TempsBrut</t>
  </si>
  <si>
    <t>2.4</t>
  </si>
  <si>
    <t>KPIs du Maintenance</t>
  </si>
  <si>
    <t>KPIs du Production</t>
  </si>
  <si>
    <t>Mode de defaillance</t>
  </si>
  <si>
    <t>Intervention</t>
  </si>
  <si>
    <t xml:space="preserve"> Mise en Marche</t>
  </si>
  <si>
    <t xml:space="preserve">Cycle de production </t>
  </si>
  <si>
    <t>Debut_Intervention</t>
  </si>
  <si>
    <t>Fin_Intervention</t>
  </si>
  <si>
    <t>Temps_Arret</t>
  </si>
  <si>
    <t>N_Arret</t>
  </si>
  <si>
    <t>Duree_Intervention</t>
  </si>
  <si>
    <t>Temps_Mise_en_Marche</t>
  </si>
  <si>
    <t xml:space="preserve">Duree_Arret </t>
  </si>
  <si>
    <t xml:space="preserve">Ensemble_Defaillance </t>
  </si>
  <si>
    <t xml:space="preserve">Sous_Ensemble_Defaillance </t>
  </si>
  <si>
    <t>Composant_Defaillance</t>
  </si>
  <si>
    <t>Debut_Arret_Planifier</t>
  </si>
  <si>
    <t>Fin_Arret_Planifier</t>
  </si>
  <si>
    <t>Duree_Arret_Planifier</t>
  </si>
  <si>
    <t>Categorie_Arret_Planifier</t>
  </si>
  <si>
    <t>Type_Arret_Planifier</t>
  </si>
  <si>
    <t>N_Sacs_Non_Conforme</t>
  </si>
  <si>
    <t>N_Palettes_Total_Produit</t>
  </si>
  <si>
    <t>N_Palettes_Non_Conforme</t>
  </si>
  <si>
    <t xml:space="preserve">Som_Temps_Ecart_Cadence </t>
  </si>
  <si>
    <t>TempsNet_TDT</t>
  </si>
  <si>
    <t>CadenceReel_s_Sac</t>
  </si>
  <si>
    <t xml:space="preserve">EcartCadence_s_Sac </t>
  </si>
  <si>
    <t>MTBF</t>
  </si>
  <si>
    <t>Defaillance/min</t>
  </si>
  <si>
    <t>MTTR</t>
  </si>
  <si>
    <t>TauxDefaillance</t>
  </si>
  <si>
    <t xml:space="preserve">TMP </t>
  </si>
  <si>
    <t>(%)</t>
  </si>
  <si>
    <t xml:space="preserve">TR(%) </t>
  </si>
  <si>
    <t>TauxReactivite</t>
  </si>
  <si>
    <t>TauxReparation</t>
  </si>
  <si>
    <t xml:space="preserve">TSE </t>
  </si>
  <si>
    <t>TauxCharge</t>
  </si>
  <si>
    <t xml:space="preserve">TauxPerformance </t>
  </si>
  <si>
    <t>TDT</t>
  </si>
  <si>
    <t>TRS</t>
  </si>
  <si>
    <t>TRG</t>
  </si>
  <si>
    <t>TRE</t>
  </si>
  <si>
    <t>TauxQualite</t>
  </si>
  <si>
    <t>date</t>
  </si>
  <si>
    <t>CadenceNominale_Sacs_h</t>
  </si>
  <si>
    <t>CadenceNominale_s_Sac</t>
  </si>
  <si>
    <t>DureeOuvertureQuotidien_h</t>
  </si>
  <si>
    <t>TempsTotal_h</t>
  </si>
  <si>
    <t>temps</t>
  </si>
  <si>
    <t>Maintenance</t>
  </si>
  <si>
    <t>Inspections</t>
  </si>
  <si>
    <t>lubrification</t>
  </si>
  <si>
    <t>remplacement de pièces usées</t>
  </si>
  <si>
    <t>Étalonnage </t>
  </si>
  <si>
    <t>Mises à niveau </t>
  </si>
  <si>
    <t>Operations</t>
  </si>
  <si>
    <t>Changements de série </t>
  </si>
  <si>
    <t>Nettoyage approfondi </t>
  </si>
  <si>
    <t>Réapprovisionnement planifié </t>
  </si>
  <si>
    <t>Arrêts de production</t>
  </si>
  <si>
    <t>Administratif/Organisationnel</t>
  </si>
  <si>
    <t>Réunions </t>
  </si>
  <si>
    <t>Formations </t>
  </si>
  <si>
    <t>Audits </t>
  </si>
  <si>
    <t>Exercices de sécurité</t>
  </si>
  <si>
    <t>Inspections réglementaires </t>
  </si>
  <si>
    <t>Type Arret Non Planifier</t>
  </si>
  <si>
    <t>Maintenance préventive </t>
  </si>
  <si>
    <t xml:space="preserve">Sous-charges / Manque de demande </t>
  </si>
  <si>
    <t>Debut Arret Planifier :</t>
  </si>
  <si>
    <t>Fin Arret Planifier      :</t>
  </si>
  <si>
    <t>Date                               :</t>
  </si>
  <si>
    <t>Categorie Arret Planifier</t>
  </si>
  <si>
    <t>Type Arret Planifier</t>
  </si>
  <si>
    <t>Commentaire              :</t>
  </si>
  <si>
    <t>Hall de stockage</t>
  </si>
  <si>
    <t>Ligne d'Ensachage</t>
  </si>
  <si>
    <t>Preparé Par : Kherbech Rachid</t>
  </si>
  <si>
    <t xml:space="preserve">Pole              : MC    </t>
  </si>
  <si>
    <t>Atelier         : MCP</t>
  </si>
  <si>
    <t>N° Arret Planifier :</t>
  </si>
  <si>
    <t>N° Sacs Non Conforme           :</t>
  </si>
  <si>
    <t>N° Sacs Total Produits            :</t>
  </si>
  <si>
    <t>Date                                             :</t>
  </si>
  <si>
    <t>N° Palettes Total Produits    :</t>
  </si>
  <si>
    <t>N° Palettes Non Conforme   :</t>
  </si>
  <si>
    <t>Formulaire Sacs Produits</t>
  </si>
  <si>
    <t>Resume</t>
  </si>
  <si>
    <t xml:space="preserve">Date                                      : </t>
  </si>
  <si>
    <t>Fin de l'Intervention             :</t>
  </si>
  <si>
    <t>Défaillance</t>
  </si>
  <si>
    <t>Chronomérage d'Arret</t>
  </si>
  <si>
    <t>Composant                 :</t>
  </si>
  <si>
    <t xml:space="preserve">Ensemble                   : </t>
  </si>
  <si>
    <t>Commentaire             :</t>
  </si>
  <si>
    <t xml:space="preserve">Temps Arret                          : </t>
  </si>
  <si>
    <t>Debut de l'Intervention        :</t>
  </si>
  <si>
    <t>Temps de Mise en Marche   :</t>
  </si>
  <si>
    <t>Type de Défaillance   :</t>
  </si>
  <si>
    <t>Sous-Ensemble          :</t>
  </si>
  <si>
    <t>Apport produit</t>
  </si>
  <si>
    <t>Ensacheuse</t>
  </si>
  <si>
    <t>Palettiseuse</t>
  </si>
  <si>
    <t>Robot</t>
  </si>
  <si>
    <t>hausseuse</t>
  </si>
  <si>
    <t>SILOS Tampon</t>
  </si>
  <si>
    <t>Armoire apportation produit</t>
  </si>
  <si>
    <t>Trémie de réception</t>
  </si>
  <si>
    <t>Alimentation CGS</t>
  </si>
  <si>
    <t>Armoire de commande CGS</t>
  </si>
  <si>
    <t>Débobineur</t>
  </si>
  <si>
    <t>Groupe perforé sac</t>
  </si>
  <si>
    <t>Chassis Assac L10</t>
  </si>
  <si>
    <t>Dispositif de soudage</t>
  </si>
  <si>
    <t>Armoir de commande coté avant</t>
  </si>
  <si>
    <t>Armoir de commande coté arriére</t>
  </si>
  <si>
    <t>Ensemble de coupe et soudure</t>
  </si>
  <si>
    <t>Soudage fond du sac</t>
  </si>
  <si>
    <t>Circuit de conduite hydraulique</t>
  </si>
  <si>
    <t>Groupe d'extraction des sac</t>
  </si>
  <si>
    <t>Bouche Assac a double clapet</t>
  </si>
  <si>
    <t>Tapis rouleaux
 métalliques B.600</t>
  </si>
  <si>
    <t>Convoyeur à rouleau</t>
  </si>
  <si>
    <t xml:space="preserve">Main Robot </t>
  </si>
  <si>
    <t>Corps robot</t>
  </si>
  <si>
    <t>Chariot élévateur 
distributeur</t>
  </si>
  <si>
    <t>Convoyeur à rouleaux pour palettes N°1</t>
  </si>
  <si>
    <t>Centreuse des palettes</t>
  </si>
  <si>
    <t>Armoire de commande Robot OKURA</t>
  </si>
  <si>
    <t>Convoyeur à 
rouleaux d'entrée</t>
  </si>
  <si>
    <t>Chariot de levage</t>
  </si>
  <si>
    <t>Convoyeur à
 rouleaux  principale</t>
  </si>
  <si>
    <t>Sytème d'ouverture du film</t>
  </si>
  <si>
    <t>Convoyeur à rouleaux 
 sortie N°1</t>
  </si>
  <si>
    <t>Système d'ihibition 
convoyeur à rouleaux
 pour housseuse</t>
  </si>
  <si>
    <t>Système support
 et transport du film</t>
  </si>
  <si>
    <t>ARMOIRE HOUSSEUSE</t>
  </si>
  <si>
    <t>Système de sécurité
 des portes</t>
  </si>
  <si>
    <t xml:space="preserve">N° Arret Non planifier            : </t>
  </si>
  <si>
    <t xml:space="preserve">Date                                         : </t>
  </si>
  <si>
    <t xml:space="preserve">Temps Arret                            : </t>
  </si>
  <si>
    <t xml:space="preserve">Ensemble                                 : </t>
  </si>
  <si>
    <t>Sous-Ensemble                        :</t>
  </si>
  <si>
    <t>Composant                               :</t>
  </si>
  <si>
    <t>Debut de l'Intervention         :</t>
  </si>
  <si>
    <t>Calcule des Durees</t>
  </si>
  <si>
    <t>Type de Défaillance                :</t>
  </si>
  <si>
    <t>Commentaire                           :</t>
  </si>
  <si>
    <t>Fin de l'Intervention               :</t>
  </si>
  <si>
    <t>Temps de Mise en Marche    :</t>
  </si>
  <si>
    <t>N° Arret Non Planifier</t>
  </si>
  <si>
    <t>N_Sacs_Total_Produit</t>
  </si>
  <si>
    <t xml:space="preserve">N_Arret_Planifier </t>
  </si>
  <si>
    <t xml:space="preserve"> Cycle </t>
  </si>
  <si>
    <t>TempsUtile</t>
  </si>
  <si>
    <t>Date</t>
  </si>
  <si>
    <t>Cadence</t>
  </si>
  <si>
    <t>Non Qalité</t>
  </si>
  <si>
    <t>Temps Cycle de Production</t>
  </si>
  <si>
    <t>N° Arret Planifier                  :</t>
  </si>
  <si>
    <t>Date                                            :</t>
  </si>
  <si>
    <t>Debut Arret Planifier          :</t>
  </si>
  <si>
    <t>Fin Arret Planifier                :</t>
  </si>
  <si>
    <t>Categorie Arret Planifier   :</t>
  </si>
  <si>
    <t>Type Arret Planifier             :</t>
  </si>
  <si>
    <t>Commentaire                          :</t>
  </si>
  <si>
    <t>Donnees</t>
  </si>
  <si>
    <t>Defaillence</t>
  </si>
  <si>
    <t>Som_Temps_Production_Non_Qualite</t>
  </si>
  <si>
    <t>Maintenance préventive</t>
  </si>
  <si>
    <t>Nettoyage approfondi</t>
  </si>
  <si>
    <t>Mise en service quotidienne</t>
  </si>
  <si>
    <t>Contrôle sécurité</t>
  </si>
  <si>
    <t>Nettoyage post-production</t>
  </si>
  <si>
    <t>Fin de chift</t>
  </si>
  <si>
    <t>pause</t>
  </si>
  <si>
    <t>Arrets Planifier</t>
  </si>
  <si>
    <t>Arrets Non Planifier</t>
  </si>
  <si>
    <t>N_Total_Arrets_Planifier</t>
  </si>
  <si>
    <t>Som_Temps_Arrets_Planifier</t>
  </si>
  <si>
    <t>N_Total_Arrets_Non_Planifier</t>
  </si>
  <si>
    <t>Som_Temps_Arrets_Non_Planifier</t>
  </si>
  <si>
    <t xml:space="preserve">Formulaire des Arrets Non Planifies </t>
  </si>
  <si>
    <t xml:space="preserve">  Sacs produits</t>
  </si>
  <si>
    <t>Arrets Non Plannifies</t>
  </si>
  <si>
    <t>DA</t>
  </si>
  <si>
    <t>DI</t>
  </si>
  <si>
    <t>FI</t>
  </si>
  <si>
    <t>FA</t>
  </si>
  <si>
    <t>duI</t>
  </si>
  <si>
    <t>dua</t>
  </si>
  <si>
    <t>Formulaire Arrets Planifies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</si>
</sst>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"/>
    <numFmt numFmtId="165" formatCode="[$-F400]h:mm:ss\ AM/PM"/>
    <numFmt numFmtId="166" formatCode="mm/dd/yy;@"/>
    <numFmt numFmtId="167" formatCode="h:mm:ss;@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Adobe Gothic Std B"/>
      <family val="2"/>
      <charset val="128"/>
    </font>
    <font>
      <sz val="11"/>
      <color theme="1"/>
      <name val="Siemens Serif Semibold"/>
    </font>
    <font>
      <sz val="20"/>
      <color theme="0"/>
      <name val="Adobe Gothic Std B"/>
      <family val="2"/>
      <charset val="128"/>
    </font>
    <font>
      <sz val="36"/>
      <color theme="0"/>
      <name val="Adobe Gothic Std B"/>
      <family val="2"/>
      <charset val="128"/>
    </font>
    <font>
      <b/>
      <sz val="12"/>
      <color theme="1"/>
      <name val="Siemens Serif Semibold"/>
    </font>
    <font>
      <sz val="22"/>
      <color theme="0"/>
      <name val="Adobe Gothic Std B"/>
      <family val="2"/>
      <charset val="128"/>
    </font>
    <font>
      <b/>
      <sz val="11"/>
      <color theme="1"/>
      <name val="Siemens Serif Semibold"/>
    </font>
    <font>
      <b/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b/>
      <sz val="36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Siemens Serif Semibold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Siemens Serif Semibold"/>
    </font>
    <font>
      <b/>
      <sz val="12"/>
      <color theme="0"/>
      <name val="Siemens Serif Semibold"/>
    </font>
    <font>
      <b/>
      <sz val="2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2" borderId="0" xfId="0" applyFill="1"/>
    <xf numFmtId="14" fontId="0" fillId="0" borderId="1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2" fillId="0" borderId="2" xfId="0" applyFont="1" applyBorder="1" applyAlignment="1">
      <alignment vertical="center"/>
    </xf>
    <xf numFmtId="0" fontId="0" fillId="0" borderId="1" xfId="0" applyBorder="1" applyAlignment="1">
      <alignment horizontal="right"/>
    </xf>
    <xf numFmtId="14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12" fillId="0" borderId="0" xfId="0" applyFont="1"/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14" fillId="5" borderId="0" xfId="0" applyFont="1" applyFill="1" applyAlignment="1">
      <alignment vertical="center"/>
    </xf>
    <xf numFmtId="0" fontId="15" fillId="5" borderId="0" xfId="0" applyFont="1" applyFill="1" applyAlignment="1">
      <alignment vertical="center"/>
    </xf>
    <xf numFmtId="164" fontId="0" fillId="0" borderId="0" xfId="0" applyNumberFormat="1"/>
    <xf numFmtId="21" fontId="0" fillId="0" borderId="0" xfId="0" applyNumberFormat="1"/>
    <xf numFmtId="0" fontId="0" fillId="0" borderId="0" xfId="0" applyAlignment="1"/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15" fillId="9" borderId="16" xfId="0" applyFont="1" applyFill="1" applyBorder="1" applyAlignment="1">
      <alignment horizontal="left" vertical="center"/>
    </xf>
    <xf numFmtId="164" fontId="16" fillId="10" borderId="16" xfId="0" applyNumberFormat="1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0" fillId="0" borderId="7" xfId="0" applyBorder="1"/>
    <xf numFmtId="164" fontId="0" fillId="0" borderId="7" xfId="0" applyNumberFormat="1" applyBorder="1"/>
    <xf numFmtId="0" fontId="0" fillId="0" borderId="10" xfId="0" applyBorder="1"/>
    <xf numFmtId="0" fontId="15" fillId="9" borderId="1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0" fillId="11" borderId="0" xfId="0" applyFill="1"/>
    <xf numFmtId="0" fontId="0" fillId="12" borderId="0" xfId="0" applyFill="1"/>
    <xf numFmtId="0" fontId="15" fillId="13" borderId="0" xfId="0" applyFont="1" applyFill="1" applyAlignment="1">
      <alignment horizontal="left" vertical="center"/>
    </xf>
    <xf numFmtId="0" fontId="14" fillId="11" borderId="0" xfId="0" applyFont="1" applyFill="1" applyAlignment="1">
      <alignment vertical="center"/>
    </xf>
    <xf numFmtId="0" fontId="12" fillId="6" borderId="16" xfId="0" applyFont="1" applyFill="1" applyBorder="1" applyAlignment="1">
      <alignment horizontal="center" vertical="center"/>
    </xf>
    <xf numFmtId="164" fontId="12" fillId="6" borderId="16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0" borderId="0" xfId="0" applyFont="1" applyAlignment="1">
      <alignment wrapText="1"/>
    </xf>
    <xf numFmtId="0" fontId="12" fillId="0" borderId="1" xfId="0" applyFont="1" applyBorder="1"/>
    <xf numFmtId="0" fontId="12" fillId="0" borderId="1" xfId="0" applyFont="1" applyBorder="1" applyAlignment="1">
      <alignment wrapText="1"/>
    </xf>
    <xf numFmtId="0" fontId="19" fillId="0" borderId="1" xfId="0" applyFont="1" applyBorder="1" applyAlignment="1">
      <alignment horizontal="center" vertical="center"/>
    </xf>
    <xf numFmtId="0" fontId="15" fillId="13" borderId="13" xfId="0" applyFont="1" applyFill="1" applyBorder="1" applyAlignment="1">
      <alignment horizontal="left" vertical="center"/>
    </xf>
    <xf numFmtId="0" fontId="15" fillId="13" borderId="14" xfId="0" applyFont="1" applyFill="1" applyBorder="1" applyAlignment="1">
      <alignment horizontal="left" vertical="center"/>
    </xf>
    <xf numFmtId="0" fontId="15" fillId="13" borderId="15" xfId="0" applyFont="1" applyFill="1" applyBorder="1" applyAlignment="1">
      <alignment horizontal="left" vertical="center"/>
    </xf>
    <xf numFmtId="164" fontId="16" fillId="0" borderId="13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21" fontId="16" fillId="0" borderId="14" xfId="0" applyNumberFormat="1" applyFont="1" applyBorder="1" applyAlignment="1">
      <alignment horizontal="center" vertical="center"/>
    </xf>
    <xf numFmtId="21" fontId="16" fillId="0" borderId="15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21" fontId="0" fillId="0" borderId="0" xfId="0" applyNumberFormat="1" applyAlignment="1">
      <alignment horizontal="right"/>
    </xf>
    <xf numFmtId="0" fontId="25" fillId="0" borderId="16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26" fillId="3" borderId="0" xfId="0" applyFont="1" applyFill="1" applyBorder="1" applyAlignment="1">
      <alignment horizontal="left" vertical="center"/>
    </xf>
    <xf numFmtId="0" fontId="18" fillId="6" borderId="0" xfId="0" applyFont="1" applyFill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16" fillId="6" borderId="16" xfId="0" applyNumberFormat="1" applyFont="1" applyFill="1" applyBorder="1" applyAlignment="1">
      <alignment horizontal="center" vertical="center"/>
    </xf>
    <xf numFmtId="165" fontId="3" fillId="3" borderId="0" xfId="0" applyNumberFormat="1" applyFont="1" applyFill="1" applyBorder="1" applyAlignment="1">
      <alignment vertical="center"/>
    </xf>
    <xf numFmtId="165" fontId="3" fillId="3" borderId="9" xfId="0" applyNumberFormat="1" applyFont="1" applyFill="1" applyBorder="1" applyAlignment="1">
      <alignment vertical="center"/>
    </xf>
    <xf numFmtId="166" fontId="0" fillId="0" borderId="0" xfId="0" applyNumberFormat="1"/>
    <xf numFmtId="0" fontId="7" fillId="14" borderId="16" xfId="0" applyFont="1" applyFill="1" applyBorder="1" applyAlignment="1">
      <alignment horizontal="center" vertical="center"/>
    </xf>
    <xf numFmtId="0" fontId="7" fillId="14" borderId="33" xfId="0" applyFont="1" applyFill="1" applyBorder="1" applyAlignment="1">
      <alignment horizontal="center" vertical="center"/>
    </xf>
    <xf numFmtId="0" fontId="7" fillId="14" borderId="32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2" xfId="0" applyFont="1" applyFill="1" applyBorder="1" applyAlignment="1">
      <alignment horizontal="center" vertical="center"/>
    </xf>
    <xf numFmtId="0" fontId="7" fillId="14" borderId="23" xfId="0" applyFont="1" applyFill="1" applyBorder="1" applyAlignment="1">
      <alignment horizontal="center" vertical="center"/>
    </xf>
    <xf numFmtId="166" fontId="3" fillId="3" borderId="6" xfId="0" applyNumberFormat="1" applyFont="1" applyFill="1" applyBorder="1" applyAlignment="1">
      <alignment vertical="center"/>
    </xf>
    <xf numFmtId="166" fontId="3" fillId="3" borderId="8" xfId="0" applyNumberFormat="1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center" vertical="center"/>
    </xf>
    <xf numFmtId="0" fontId="15" fillId="11" borderId="0" xfId="0" applyFont="1" applyFill="1" applyAlignment="1">
      <alignment vertical="center"/>
    </xf>
    <xf numFmtId="0" fontId="0" fillId="15" borderId="0" xfId="0" applyFill="1" applyAlignment="1"/>
    <xf numFmtId="0" fontId="7" fillId="8" borderId="17" xfId="0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/>
    </xf>
    <xf numFmtId="0" fontId="23" fillId="8" borderId="20" xfId="0" applyFont="1" applyFill="1" applyBorder="1" applyAlignment="1">
      <alignment horizontal="center" vertical="center"/>
    </xf>
    <xf numFmtId="0" fontId="23" fillId="8" borderId="21" xfId="0" applyFont="1" applyFill="1" applyBorder="1" applyAlignment="1">
      <alignment horizontal="center" vertical="center"/>
    </xf>
    <xf numFmtId="0" fontId="0" fillId="0" borderId="0" xfId="0" applyFill="1"/>
    <xf numFmtId="21" fontId="16" fillId="6" borderId="16" xfId="0" applyNumberFormat="1" applyFont="1" applyFill="1" applyBorder="1" applyAlignment="1">
      <alignment horizontal="center" vertical="center"/>
    </xf>
    <xf numFmtId="21" fontId="12" fillId="6" borderId="16" xfId="0" applyNumberFormat="1" applyFont="1" applyFill="1" applyBorder="1" applyAlignment="1">
      <alignment horizontal="center" vertical="center"/>
    </xf>
    <xf numFmtId="165" fontId="0" fillId="0" borderId="0" xfId="0" applyNumberFormat="1"/>
    <xf numFmtId="167" fontId="0" fillId="0" borderId="0" xfId="0" applyNumberFormat="1"/>
    <xf numFmtId="0" fontId="0" fillId="0" borderId="0" xfId="0" applyAlignment="1">
      <alignment wrapText="1"/>
    </xf>
    <xf numFmtId="0" fontId="27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left" vertical="center"/>
    </xf>
    <xf numFmtId="0" fontId="14" fillId="5" borderId="32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0" fontId="0" fillId="6" borderId="9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14" fillId="13" borderId="0" xfId="0" applyFont="1" applyFill="1" applyAlignment="1">
      <alignment horizontal="center" vertical="center"/>
    </xf>
    <xf numFmtId="0" fontId="0" fillId="6" borderId="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17" fillId="11" borderId="3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28" fillId="12" borderId="0" xfId="0" applyFont="1" applyFill="1" applyAlignment="1">
      <alignment horizontal="left" vertical="center"/>
    </xf>
    <xf numFmtId="0" fontId="1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9" fillId="0" borderId="32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166" fontId="5" fillId="8" borderId="29" xfId="0" applyNumberFormat="1" applyFont="1" applyFill="1" applyBorder="1" applyAlignment="1">
      <alignment vertical="center"/>
    </xf>
    <xf numFmtId="0" fontId="5" fillId="8" borderId="29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/>
    </xf>
    <xf numFmtId="0" fontId="5" fillId="8" borderId="18" xfId="0" applyFont="1" applyFill="1" applyBorder="1" applyAlignment="1">
      <alignment horizontal="center"/>
    </xf>
    <xf numFmtId="165" fontId="5" fillId="8" borderId="31" xfId="0" applyNumberFormat="1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18" xfId="0" applyFont="1" applyFill="1" applyBorder="1" applyAlignment="1">
      <alignment horizontal="center" vertical="center" wrapText="1"/>
    </xf>
    <xf numFmtId="166" fontId="5" fillId="8" borderId="8" xfId="0" applyNumberFormat="1" applyFont="1" applyFill="1" applyBorder="1" applyAlignment="1">
      <alignment horizontal="center" vertical="center"/>
    </xf>
    <xf numFmtId="0" fontId="5" fillId="8" borderId="26" xfId="0" applyFont="1" applyFill="1" applyBorder="1" applyAlignment="1">
      <alignment horizontal="center" vertical="center"/>
    </xf>
    <xf numFmtId="165" fontId="5" fillId="8" borderId="28" xfId="0" applyNumberFormat="1" applyFont="1" applyFill="1" applyBorder="1" applyAlignment="1">
      <alignment horizontal="center" vertical="center"/>
    </xf>
    <xf numFmtId="0" fontId="5" fillId="8" borderId="30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14" fontId="5" fillId="8" borderId="28" xfId="0" applyNumberFormat="1" applyFont="1" applyFill="1" applyBorder="1" applyAlignment="1">
      <alignment horizontal="center" vertical="center" wrapText="1"/>
    </xf>
    <xf numFmtId="165" fontId="5" fillId="8" borderId="26" xfId="0" applyNumberFormat="1" applyFont="1" applyFill="1" applyBorder="1" applyAlignment="1">
      <alignment horizontal="center" vertical="center"/>
    </xf>
    <xf numFmtId="165" fontId="5" fillId="8" borderId="15" xfId="0" applyNumberFormat="1" applyFont="1" applyFill="1" applyBorder="1" applyAlignment="1">
      <alignment horizontal="center" vertical="center" wrapText="1"/>
    </xf>
    <xf numFmtId="165" fontId="5" fillId="8" borderId="28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18</xdr:row>
      <xdr:rowOff>114300</xdr:rowOff>
    </xdr:from>
    <xdr:to>
      <xdr:col>10</xdr:col>
      <xdr:colOff>304800</xdr:colOff>
      <xdr:row>21</xdr:row>
      <xdr:rowOff>66675</xdr:rowOff>
    </xdr:to>
    <xdr:sp macro="[0]!DataEntry_FormulaireSacsProdu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58050" y="4400550"/>
          <a:ext cx="1438275" cy="523875"/>
        </a:xfrm>
        <a:prstGeom prst="roundRect">
          <a:avLst/>
        </a:prstGeom>
        <a:solidFill>
          <a:srgbClr val="FFFF00"/>
        </a:solidFill>
        <a:ln w="381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tx1"/>
              </a:solidFill>
            </a:rPr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8</xdr:row>
          <xdr:rowOff>219075</xdr:rowOff>
        </xdr:from>
        <xdr:to>
          <xdr:col>3</xdr:col>
          <xdr:colOff>666750</xdr:colOff>
          <xdr:row>10</xdr:row>
          <xdr:rowOff>19050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321623</xdr:colOff>
      <xdr:row>1</xdr:row>
      <xdr:rowOff>123701</xdr:rowOff>
    </xdr:from>
    <xdr:to>
      <xdr:col>3</xdr:col>
      <xdr:colOff>554769</xdr:colOff>
      <xdr:row>5</xdr:row>
      <xdr:rowOff>131010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896" y="309253"/>
          <a:ext cx="839282" cy="1071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21</xdr:row>
      <xdr:rowOff>180975</xdr:rowOff>
    </xdr:from>
    <xdr:to>
      <xdr:col>10</xdr:col>
      <xdr:colOff>371475</xdr:colOff>
      <xdr:row>24</xdr:row>
      <xdr:rowOff>171450</xdr:rowOff>
    </xdr:to>
    <xdr:sp macro="[0]!DataSubmit_FormulaireArretPlanifi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34325" y="4676775"/>
          <a:ext cx="2362200" cy="561975"/>
        </a:xfrm>
        <a:prstGeom prst="roundRect">
          <a:avLst/>
        </a:prstGeom>
        <a:solidFill>
          <a:srgbClr val="FFFF00"/>
        </a:solidFill>
        <a:ln w="381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tx1"/>
              </a:solidFill>
            </a:rPr>
            <a:t>Submit</a:t>
          </a:r>
        </a:p>
      </xdr:txBody>
    </xdr:sp>
    <xdr:clientData/>
  </xdr:twoCellAnchor>
  <xdr:twoCellAnchor editAs="oneCell">
    <xdr:from>
      <xdr:col>2</xdr:col>
      <xdr:colOff>334786</xdr:colOff>
      <xdr:row>0</xdr:row>
      <xdr:rowOff>168798</xdr:rowOff>
    </xdr:from>
    <xdr:to>
      <xdr:col>2</xdr:col>
      <xdr:colOff>1470950</xdr:colOff>
      <xdr:row>7</xdr:row>
      <xdr:rowOff>204969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596" y="168798"/>
          <a:ext cx="1136164" cy="14468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9</xdr:row>
          <xdr:rowOff>85725</xdr:rowOff>
        </xdr:from>
        <xdr:to>
          <xdr:col>2</xdr:col>
          <xdr:colOff>1876425</xdr:colOff>
          <xdr:row>9</xdr:row>
          <xdr:rowOff>409575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11</xdr:row>
          <xdr:rowOff>38100</xdr:rowOff>
        </xdr:from>
        <xdr:to>
          <xdr:col>2</xdr:col>
          <xdr:colOff>1876425</xdr:colOff>
          <xdr:row>11</xdr:row>
          <xdr:rowOff>361950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Time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13</xdr:row>
          <xdr:rowOff>38100</xdr:rowOff>
        </xdr:from>
        <xdr:to>
          <xdr:col>2</xdr:col>
          <xdr:colOff>1876425</xdr:colOff>
          <xdr:row>13</xdr:row>
          <xdr:rowOff>361950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Time - 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648547</xdr:colOff>
      <xdr:row>22</xdr:row>
      <xdr:rowOff>1</xdr:rowOff>
    </xdr:from>
    <xdr:to>
      <xdr:col>10</xdr:col>
      <xdr:colOff>634698</xdr:colOff>
      <xdr:row>25</xdr:row>
      <xdr:rowOff>76702</xdr:rowOff>
    </xdr:to>
    <xdr:sp macro="[0]!DataSubmit_FormulaireArretNonPlanifi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72865" y="5310910"/>
          <a:ext cx="2612742" cy="639542"/>
        </a:xfrm>
        <a:prstGeom prst="roundRect">
          <a:avLst/>
        </a:prstGeom>
        <a:solidFill>
          <a:srgbClr val="FFFF00"/>
        </a:solidFill>
        <a:ln w="381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tx1"/>
              </a:solidFill>
            </a:rPr>
            <a:t>Submitt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9</xdr:row>
          <xdr:rowOff>28575</xdr:rowOff>
        </xdr:from>
        <xdr:to>
          <xdr:col>3</xdr:col>
          <xdr:colOff>1466850</xdr:colOff>
          <xdr:row>10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11</xdr:row>
          <xdr:rowOff>0</xdr:rowOff>
        </xdr:from>
        <xdr:to>
          <xdr:col>3</xdr:col>
          <xdr:colOff>1466850</xdr:colOff>
          <xdr:row>12</xdr:row>
          <xdr:rowOff>47625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12</xdr:row>
          <xdr:rowOff>219075</xdr:rowOff>
        </xdr:from>
        <xdr:to>
          <xdr:col>3</xdr:col>
          <xdr:colOff>1466850</xdr:colOff>
          <xdr:row>13</xdr:row>
          <xdr:rowOff>304800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14</xdr:row>
          <xdr:rowOff>180975</xdr:rowOff>
        </xdr:from>
        <xdr:to>
          <xdr:col>3</xdr:col>
          <xdr:colOff>1466850</xdr:colOff>
          <xdr:row>15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2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FI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16</xdr:row>
          <xdr:rowOff>228600</xdr:rowOff>
        </xdr:from>
        <xdr:to>
          <xdr:col>3</xdr:col>
          <xdr:colOff>1466850</xdr:colOff>
          <xdr:row>17</xdr:row>
          <xdr:rowOff>314325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2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TMEM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515287</xdr:colOff>
      <xdr:row>0</xdr:row>
      <xdr:rowOff>78074</xdr:rowOff>
    </xdr:from>
    <xdr:to>
      <xdr:col>3</xdr:col>
      <xdr:colOff>1625301</xdr:colOff>
      <xdr:row>5</xdr:row>
      <xdr:rowOff>370550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238" y="78074"/>
          <a:ext cx="1623934" cy="20725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3</xdr:row>
          <xdr:rowOff>104775</xdr:rowOff>
        </xdr:from>
        <xdr:to>
          <xdr:col>6</xdr:col>
          <xdr:colOff>2105025</xdr:colOff>
          <xdr:row>5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Clean for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3</xdr:row>
          <xdr:rowOff>76200</xdr:rowOff>
        </xdr:from>
        <xdr:to>
          <xdr:col>3</xdr:col>
          <xdr:colOff>1352550</xdr:colOff>
          <xdr:row>5</xdr:row>
          <xdr:rowOff>76200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Transfert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3</xdr:row>
          <xdr:rowOff>142875</xdr:rowOff>
        </xdr:from>
        <xdr:to>
          <xdr:col>28</xdr:col>
          <xdr:colOff>114300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5</xdr:row>
          <xdr:rowOff>0</xdr:rowOff>
        </xdr:from>
        <xdr:to>
          <xdr:col>4</xdr:col>
          <xdr:colOff>590550</xdr:colOff>
          <xdr:row>6</xdr:row>
          <xdr:rowOff>247650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transfert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104775</xdr:rowOff>
        </xdr:from>
        <xdr:to>
          <xdr:col>4</xdr:col>
          <xdr:colOff>19050</xdr:colOff>
          <xdr:row>4</xdr:row>
          <xdr:rowOff>161925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Transfert to Database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73D5-AF43-4CA1-9254-D48BBACBE0B4}">
  <sheetPr codeName="Sheet9"/>
  <dimension ref="B1:O22"/>
  <sheetViews>
    <sheetView zoomScale="75" workbookViewId="0">
      <selection activeCell="O17" sqref="O17"/>
    </sheetView>
  </sheetViews>
  <sheetFormatPr defaultRowHeight="15" x14ac:dyDescent="0.25"/>
  <cols>
    <col min="4" max="4" width="12.7109375" customWidth="1"/>
    <col min="5" max="5" width="34.42578125" customWidth="1"/>
    <col min="7" max="7" width="18.28515625" customWidth="1"/>
    <col min="11" max="11" width="26.7109375" customWidth="1"/>
    <col min="14" max="14" width="35" customWidth="1"/>
    <col min="15" max="15" width="26.42578125" customWidth="1"/>
  </cols>
  <sheetData>
    <row r="1" spans="2:15" ht="21" x14ac:dyDescent="0.25">
      <c r="B1" s="35"/>
      <c r="C1" s="34"/>
      <c r="D1" s="34"/>
      <c r="E1" s="106" t="s">
        <v>98</v>
      </c>
      <c r="F1" s="107"/>
      <c r="G1" s="107"/>
      <c r="H1" s="107"/>
      <c r="I1" s="112" t="s">
        <v>90</v>
      </c>
      <c r="J1" s="112"/>
      <c r="K1" s="112"/>
      <c r="L1" s="33"/>
      <c r="M1" s="33"/>
    </row>
    <row r="2" spans="2:15" ht="21" x14ac:dyDescent="0.25">
      <c r="B2" s="35"/>
      <c r="C2" s="95"/>
      <c r="D2" s="95"/>
      <c r="E2" s="107"/>
      <c r="F2" s="107"/>
      <c r="G2" s="107"/>
      <c r="H2" s="107"/>
      <c r="I2" s="112" t="s">
        <v>91</v>
      </c>
      <c r="J2" s="112"/>
      <c r="K2" s="112"/>
      <c r="L2" s="33"/>
      <c r="M2" s="33"/>
    </row>
    <row r="3" spans="2:15" ht="21" x14ac:dyDescent="0.25">
      <c r="B3" s="35"/>
      <c r="C3" s="95"/>
      <c r="D3" s="95"/>
      <c r="E3" s="107"/>
      <c r="F3" s="107"/>
      <c r="G3" s="107"/>
      <c r="H3" s="107"/>
      <c r="I3" s="112" t="s">
        <v>87</v>
      </c>
      <c r="J3" s="112"/>
      <c r="K3" s="112"/>
      <c r="L3" s="33"/>
      <c r="M3" s="33"/>
    </row>
    <row r="4" spans="2:15" ht="21.75" thickBot="1" x14ac:dyDescent="0.3">
      <c r="B4" s="35"/>
      <c r="C4" s="95"/>
      <c r="D4" s="95"/>
      <c r="E4" s="107"/>
      <c r="F4" s="107"/>
      <c r="G4" s="107"/>
      <c r="H4" s="107"/>
      <c r="I4" s="112" t="s">
        <v>88</v>
      </c>
      <c r="J4" s="112"/>
      <c r="K4" s="112"/>
      <c r="L4" s="33"/>
      <c r="M4" s="33"/>
    </row>
    <row r="5" spans="2:15" ht="19.5" customHeight="1" x14ac:dyDescent="0.25">
      <c r="B5" s="35"/>
      <c r="C5" s="95"/>
      <c r="D5" s="95"/>
      <c r="E5" s="107"/>
      <c r="F5" s="107"/>
      <c r="G5" s="107"/>
      <c r="H5" s="107"/>
      <c r="I5" s="112"/>
      <c r="J5" s="112"/>
      <c r="K5" s="112"/>
      <c r="L5" s="33"/>
      <c r="M5" s="33"/>
      <c r="N5" s="108" t="s">
        <v>99</v>
      </c>
      <c r="O5" s="109"/>
    </row>
    <row r="6" spans="2:15" ht="39.75" customHeight="1" thickBot="1" x14ac:dyDescent="0.3">
      <c r="B6" s="35"/>
      <c r="C6" s="95"/>
      <c r="D6" s="95"/>
      <c r="E6" s="107"/>
      <c r="F6" s="107"/>
      <c r="G6" s="107"/>
      <c r="H6" s="107"/>
      <c r="I6" s="112" t="s">
        <v>89</v>
      </c>
      <c r="J6" s="112"/>
      <c r="K6" s="112"/>
      <c r="L6" s="33"/>
      <c r="M6" s="33"/>
      <c r="N6" s="110"/>
      <c r="O6" s="111"/>
    </row>
    <row r="7" spans="2:15" ht="19.5" thickBot="1" x14ac:dyDescent="0.3">
      <c r="B7" s="35"/>
      <c r="C7" s="34"/>
      <c r="D7" s="34"/>
      <c r="E7" s="107"/>
      <c r="F7" s="107"/>
      <c r="G7" s="107"/>
      <c r="H7" s="107"/>
      <c r="I7" s="35"/>
      <c r="J7" s="35"/>
      <c r="K7" s="35"/>
      <c r="N7" s="43" t="s">
        <v>95</v>
      </c>
      <c r="O7" s="41">
        <f>G10</f>
        <v>0</v>
      </c>
    </row>
    <row r="8" spans="2:15" ht="19.5" thickBot="1" x14ac:dyDescent="0.3">
      <c r="B8" s="36"/>
      <c r="C8" s="36"/>
      <c r="D8" s="36"/>
      <c r="E8" s="36"/>
      <c r="F8" s="36"/>
      <c r="G8" s="36"/>
      <c r="H8" s="36"/>
      <c r="I8" s="36"/>
      <c r="J8" s="36"/>
      <c r="K8" s="36"/>
      <c r="N8" s="37" t="s">
        <v>94</v>
      </c>
      <c r="O8" s="40">
        <f>G12</f>
        <v>0</v>
      </c>
    </row>
    <row r="9" spans="2:15" ht="19.5" thickBot="1" x14ac:dyDescent="0.3">
      <c r="B9" s="36"/>
      <c r="C9" s="36"/>
      <c r="D9" s="36"/>
      <c r="E9" s="36"/>
      <c r="F9" s="36"/>
      <c r="G9" s="36"/>
      <c r="H9" s="36"/>
      <c r="I9" s="36"/>
      <c r="J9" s="36"/>
      <c r="K9" s="36"/>
      <c r="N9" s="37" t="s">
        <v>93</v>
      </c>
      <c r="O9" s="40">
        <f>G14</f>
        <v>0</v>
      </c>
    </row>
    <row r="10" spans="2:15" ht="22.5" customHeight="1" thickBot="1" x14ac:dyDescent="0.3">
      <c r="B10" s="36"/>
      <c r="C10" s="36"/>
      <c r="D10" s="36"/>
      <c r="E10" s="37" t="s">
        <v>95</v>
      </c>
      <c r="F10" s="36"/>
      <c r="G10" s="38"/>
      <c r="H10" s="36"/>
      <c r="I10" s="36"/>
      <c r="J10" s="36"/>
      <c r="K10" s="36"/>
      <c r="N10" s="37" t="s">
        <v>96</v>
      </c>
      <c r="O10" s="40">
        <f>G16</f>
        <v>0</v>
      </c>
    </row>
    <row r="11" spans="2:15" ht="19.5" thickBot="1" x14ac:dyDescent="0.3">
      <c r="B11" s="36"/>
      <c r="C11" s="36"/>
      <c r="D11" s="36"/>
      <c r="E11" s="36"/>
      <c r="F11" s="36"/>
      <c r="G11" s="36"/>
      <c r="H11" s="36"/>
      <c r="I11" s="36"/>
      <c r="J11" s="36"/>
      <c r="K11" s="36"/>
      <c r="N11" s="37" t="s">
        <v>97</v>
      </c>
      <c r="O11" s="42">
        <f>G18</f>
        <v>0</v>
      </c>
    </row>
    <row r="12" spans="2:15" ht="24.95" customHeight="1" thickBot="1" x14ac:dyDescent="0.3">
      <c r="B12" s="36"/>
      <c r="C12" s="36"/>
      <c r="D12" s="36"/>
      <c r="E12" s="37" t="s">
        <v>94</v>
      </c>
      <c r="F12" s="36"/>
      <c r="G12" s="39"/>
      <c r="H12" s="36"/>
      <c r="I12" s="36"/>
      <c r="J12" s="36"/>
      <c r="K12" s="36"/>
    </row>
    <row r="13" spans="2:15" ht="15.75" thickBot="1" x14ac:dyDescent="0.3"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2:15" ht="24.95" customHeight="1" thickBot="1" x14ac:dyDescent="0.3">
      <c r="B14" s="36"/>
      <c r="C14" s="36"/>
      <c r="D14" s="36"/>
      <c r="E14" s="37" t="s">
        <v>93</v>
      </c>
      <c r="F14" s="36"/>
      <c r="G14" s="39"/>
      <c r="H14" s="36"/>
      <c r="I14" s="36"/>
      <c r="J14" s="36"/>
      <c r="K14" s="36"/>
    </row>
    <row r="15" spans="2:15" ht="15.75" thickBot="1" x14ac:dyDescent="0.3"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2:15" ht="24.95" customHeight="1" thickBot="1" x14ac:dyDescent="0.3">
      <c r="B16" s="36"/>
      <c r="C16" s="36"/>
      <c r="D16" s="36"/>
      <c r="E16" s="37" t="s">
        <v>96</v>
      </c>
      <c r="F16" s="36"/>
      <c r="G16" s="39"/>
      <c r="H16" s="36"/>
      <c r="I16" s="36"/>
      <c r="J16" s="36"/>
      <c r="K16" s="36"/>
    </row>
    <row r="17" spans="2:11" ht="15.75" thickBot="1" x14ac:dyDescent="0.3"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2:11" ht="24.95" customHeight="1" thickBot="1" x14ac:dyDescent="0.3">
      <c r="B18" s="36"/>
      <c r="C18" s="36"/>
      <c r="D18" s="36"/>
      <c r="E18" s="37" t="s">
        <v>97</v>
      </c>
      <c r="F18" s="36"/>
      <c r="G18" s="39"/>
      <c r="H18" s="36"/>
      <c r="I18" s="36"/>
      <c r="J18" s="36"/>
      <c r="K18" s="36"/>
    </row>
    <row r="19" spans="2:11" x14ac:dyDescent="0.25"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2:11" x14ac:dyDescent="0.25"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2:11" x14ac:dyDescent="0.25">
      <c r="B21" s="36"/>
      <c r="C21" s="36"/>
      <c r="D21" s="36"/>
      <c r="E21" s="36"/>
      <c r="F21" s="36"/>
      <c r="G21" s="36"/>
      <c r="H21" s="36"/>
      <c r="I21" s="36"/>
      <c r="J21" s="36"/>
      <c r="K21" s="36"/>
    </row>
    <row r="22" spans="2:11" x14ac:dyDescent="0.25">
      <c r="B22" s="36"/>
      <c r="C22" s="36"/>
      <c r="D22" s="36"/>
      <c r="E22" s="36"/>
      <c r="F22" s="36"/>
      <c r="G22" s="36"/>
      <c r="H22" s="36"/>
      <c r="I22" s="36"/>
      <c r="J22" s="36"/>
      <c r="K22" s="36"/>
    </row>
  </sheetData>
  <mergeCells count="8">
    <mergeCell ref="E1:H7"/>
    <mergeCell ref="N5:O6"/>
    <mergeCell ref="I1:K1"/>
    <mergeCell ref="I2:K2"/>
    <mergeCell ref="I3:K3"/>
    <mergeCell ref="I4:K4"/>
    <mergeCell ref="I5:K5"/>
    <mergeCell ref="I6:K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EnterCurrentDate_FSP_Date">
                <anchor moveWithCells="1" sizeWithCells="1">
                  <from>
                    <xdr:col>2</xdr:col>
                    <xdr:colOff>285750</xdr:colOff>
                    <xdr:row>8</xdr:row>
                    <xdr:rowOff>219075</xdr:rowOff>
                  </from>
                  <to>
                    <xdr:col>3</xdr:col>
                    <xdr:colOff>666750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B4981-B326-48EB-A4E0-BE8AF3F7852D}">
  <sheetPr codeName="Sheet8"/>
  <dimension ref="C1:P26"/>
  <sheetViews>
    <sheetView showGridLines="0" topLeftCell="C1" zoomScale="69" workbookViewId="0">
      <selection activeCell="J1" sqref="J1:J2"/>
    </sheetView>
  </sheetViews>
  <sheetFormatPr defaultRowHeight="15" x14ac:dyDescent="0.25"/>
  <cols>
    <col min="3" max="3" width="31.5703125" customWidth="1"/>
    <col min="4" max="4" width="29.42578125" customWidth="1"/>
    <col min="5" max="5" width="5.140625" customWidth="1"/>
    <col min="6" max="6" width="23.7109375" customWidth="1"/>
    <col min="8" max="8" width="33.85546875" customWidth="1"/>
    <col min="9" max="9" width="4.7109375" customWidth="1"/>
    <col min="10" max="10" width="44.5703125" customWidth="1"/>
    <col min="14" max="14" width="35.140625" customWidth="1"/>
    <col min="15" max="15" width="23.28515625" bestFit="1" customWidth="1"/>
    <col min="16" max="16" width="15.7109375" bestFit="1" customWidth="1"/>
    <col min="17" max="17" width="30.7109375" customWidth="1"/>
    <col min="18" max="18" width="20.7109375" customWidth="1"/>
  </cols>
  <sheetData>
    <row r="1" spans="3:15" ht="15" customHeight="1" x14ac:dyDescent="0.25">
      <c r="C1" s="27"/>
      <c r="D1" s="124" t="s">
        <v>203</v>
      </c>
      <c r="E1" s="125"/>
      <c r="F1" s="125"/>
      <c r="G1" s="125"/>
      <c r="H1" s="125"/>
      <c r="I1" s="125"/>
      <c r="J1" s="126" t="s">
        <v>90</v>
      </c>
      <c r="K1" s="28"/>
    </row>
    <row r="2" spans="3:15" ht="15" customHeight="1" x14ac:dyDescent="0.25">
      <c r="C2" s="28"/>
      <c r="D2" s="125"/>
      <c r="E2" s="125"/>
      <c r="F2" s="125"/>
      <c r="G2" s="125"/>
      <c r="H2" s="125"/>
      <c r="I2" s="125"/>
      <c r="J2" s="127"/>
      <c r="K2" s="28"/>
    </row>
    <row r="3" spans="3:15" ht="15" customHeight="1" x14ac:dyDescent="0.25">
      <c r="C3" s="28"/>
      <c r="D3" s="125"/>
      <c r="E3" s="125"/>
      <c r="F3" s="125"/>
      <c r="G3" s="125"/>
      <c r="H3" s="125"/>
      <c r="I3" s="125"/>
      <c r="J3" s="126" t="s">
        <v>91</v>
      </c>
      <c r="K3" s="28"/>
    </row>
    <row r="4" spans="3:15" ht="15" customHeight="1" x14ac:dyDescent="0.25">
      <c r="C4" s="28"/>
      <c r="D4" s="125"/>
      <c r="E4" s="125"/>
      <c r="F4" s="125"/>
      <c r="G4" s="125"/>
      <c r="H4" s="125"/>
      <c r="I4" s="125"/>
      <c r="J4" s="127"/>
      <c r="K4" s="28"/>
    </row>
    <row r="5" spans="3:15" ht="15" customHeight="1" x14ac:dyDescent="0.25">
      <c r="C5" s="28"/>
      <c r="D5" s="125"/>
      <c r="E5" s="125"/>
      <c r="F5" s="125"/>
      <c r="G5" s="125"/>
      <c r="H5" s="125"/>
      <c r="I5" s="125"/>
      <c r="J5" s="126" t="s">
        <v>87</v>
      </c>
      <c r="K5" s="28"/>
    </row>
    <row r="6" spans="3:15" ht="15" customHeight="1" thickBot="1" x14ac:dyDescent="0.3">
      <c r="C6" s="28"/>
      <c r="D6" s="125"/>
      <c r="E6" s="125"/>
      <c r="F6" s="125"/>
      <c r="G6" s="125"/>
      <c r="H6" s="125"/>
      <c r="I6" s="125"/>
      <c r="J6" s="127"/>
      <c r="K6" s="28"/>
    </row>
    <row r="7" spans="3:15" ht="19.5" customHeight="1" thickBot="1" x14ac:dyDescent="0.4">
      <c r="C7" s="28"/>
      <c r="D7" s="125"/>
      <c r="E7" s="125"/>
      <c r="F7" s="125"/>
      <c r="G7" s="125"/>
      <c r="H7" s="125"/>
      <c r="I7" s="125"/>
      <c r="J7" s="29" t="s">
        <v>88</v>
      </c>
      <c r="K7" s="28"/>
      <c r="N7" s="113" t="s">
        <v>99</v>
      </c>
      <c r="O7" s="114"/>
    </row>
    <row r="8" spans="3:15" ht="29.25" customHeight="1" x14ac:dyDescent="0.25">
      <c r="C8" s="28"/>
      <c r="D8" s="125"/>
      <c r="E8" s="125"/>
      <c r="F8" s="125"/>
      <c r="G8" s="125"/>
      <c r="H8" s="125"/>
      <c r="I8" s="125"/>
      <c r="J8" s="30" t="s">
        <v>89</v>
      </c>
      <c r="K8" s="28"/>
      <c r="N8" s="74" t="s">
        <v>171</v>
      </c>
      <c r="O8" s="71">
        <f>F23</f>
        <v>1</v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3"/>
      <c r="K9" s="3"/>
      <c r="N9" s="75" t="s">
        <v>172</v>
      </c>
      <c r="O9" s="72">
        <f>F10</f>
        <v>0</v>
      </c>
    </row>
    <row r="10" spans="3:15" ht="36" customHeight="1" thickBot="1" x14ac:dyDescent="0.3">
      <c r="C10" s="3"/>
      <c r="D10" s="77" t="s">
        <v>83</v>
      </c>
      <c r="E10" s="3"/>
      <c r="F10" s="80"/>
      <c r="G10" s="3"/>
      <c r="H10" s="77" t="s">
        <v>84</v>
      </c>
      <c r="I10" s="3"/>
      <c r="J10" s="50"/>
      <c r="K10" s="3"/>
      <c r="N10" s="75" t="s">
        <v>173</v>
      </c>
      <c r="O10" s="62">
        <f>F12</f>
        <v>0</v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3"/>
      <c r="K11" s="3"/>
      <c r="N11" s="75" t="s">
        <v>174</v>
      </c>
      <c r="O11" s="62">
        <f>F14</f>
        <v>0</v>
      </c>
    </row>
    <row r="12" spans="3:15" ht="33" customHeight="1" thickBot="1" x14ac:dyDescent="0.3">
      <c r="C12" s="3"/>
      <c r="D12" s="77" t="s">
        <v>81</v>
      </c>
      <c r="E12" s="3"/>
      <c r="F12" s="101"/>
      <c r="G12" s="3"/>
      <c r="H12" s="77" t="s">
        <v>85</v>
      </c>
      <c r="I12" s="3"/>
      <c r="J12" s="50"/>
      <c r="K12" s="3"/>
      <c r="N12" s="75" t="s">
        <v>175</v>
      </c>
      <c r="O12" s="61">
        <f>J10</f>
        <v>0</v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3"/>
      <c r="K13" s="3"/>
      <c r="N13" s="75" t="s">
        <v>176</v>
      </c>
      <c r="O13" s="61">
        <f>J12</f>
        <v>0</v>
      </c>
    </row>
    <row r="14" spans="3:15" ht="33.75" customHeight="1" thickBot="1" x14ac:dyDescent="0.3">
      <c r="C14" s="3"/>
      <c r="D14" s="77" t="s">
        <v>82</v>
      </c>
      <c r="E14" s="3"/>
      <c r="F14" s="101"/>
      <c r="G14" s="3"/>
      <c r="H14" s="92"/>
      <c r="I14" s="3"/>
      <c r="J14" s="93"/>
      <c r="K14" s="3"/>
      <c r="N14" s="76" t="s">
        <v>177</v>
      </c>
      <c r="O14" s="73">
        <f>F17</f>
        <v>0</v>
      </c>
    </row>
    <row r="15" spans="3:15" ht="21.75" customHeight="1" x14ac:dyDescent="0.25">
      <c r="C15" s="3"/>
      <c r="D15" s="3"/>
      <c r="E15" s="3"/>
      <c r="F15" s="3"/>
      <c r="G15" s="3"/>
      <c r="H15" s="3"/>
      <c r="I15" s="3"/>
      <c r="J15" s="3"/>
      <c r="K15" s="3"/>
    </row>
    <row r="16" spans="3:15" ht="15.75" thickBot="1" x14ac:dyDescent="0.3">
      <c r="C16" s="3"/>
      <c r="D16" s="3"/>
      <c r="E16" s="3"/>
      <c r="F16" s="3"/>
      <c r="G16" s="3"/>
      <c r="H16" s="3"/>
      <c r="I16" s="3"/>
      <c r="J16" s="3"/>
      <c r="K16" s="3"/>
    </row>
    <row r="17" spans="3:16" ht="24.95" customHeight="1" x14ac:dyDescent="0.25">
      <c r="C17" s="3"/>
      <c r="D17" s="77" t="s">
        <v>86</v>
      </c>
      <c r="E17" s="3"/>
      <c r="F17" s="115"/>
      <c r="G17" s="116"/>
      <c r="H17" s="116"/>
      <c r="I17" s="117"/>
      <c r="J17" s="3"/>
      <c r="K17" s="3"/>
    </row>
    <row r="18" spans="3:16" x14ac:dyDescent="0.25">
      <c r="C18" s="3"/>
      <c r="D18" s="3"/>
      <c r="E18" s="3"/>
      <c r="F18" s="118"/>
      <c r="G18" s="119"/>
      <c r="H18" s="119"/>
      <c r="I18" s="120"/>
      <c r="J18" s="3"/>
      <c r="K18" s="3"/>
    </row>
    <row r="19" spans="3:16" ht="15.75" thickBot="1" x14ac:dyDescent="0.3">
      <c r="C19" s="3"/>
      <c r="D19" s="3"/>
      <c r="E19" s="3"/>
      <c r="F19" s="121"/>
      <c r="G19" s="122"/>
      <c r="H19" s="122"/>
      <c r="I19" s="123"/>
      <c r="J19" s="3"/>
      <c r="K19" s="3"/>
      <c r="P19">
        <f>O17+1</f>
        <v>1</v>
      </c>
    </row>
    <row r="20" spans="3:16" x14ac:dyDescent="0.25">
      <c r="C20" s="3"/>
      <c r="D20" s="3"/>
      <c r="E20" s="3"/>
      <c r="F20" s="3"/>
      <c r="G20" s="3"/>
      <c r="H20" s="3"/>
      <c r="I20" s="3"/>
      <c r="J20" s="3"/>
      <c r="K20" s="3"/>
    </row>
    <row r="21" spans="3:16" x14ac:dyDescent="0.25">
      <c r="C21" s="3"/>
      <c r="D21" s="3"/>
      <c r="E21" s="3"/>
      <c r="F21" s="3"/>
      <c r="G21" s="3"/>
      <c r="H21" s="3"/>
      <c r="I21" s="3"/>
      <c r="J21" s="3"/>
      <c r="K21" s="3"/>
    </row>
    <row r="22" spans="3:16" x14ac:dyDescent="0.25">
      <c r="C22" s="3"/>
      <c r="D22" s="3"/>
      <c r="E22" s="3"/>
      <c r="F22" s="3"/>
      <c r="G22" s="3"/>
      <c r="H22" s="3"/>
      <c r="I22" s="3"/>
      <c r="J22" s="3"/>
      <c r="K22" s="3"/>
    </row>
    <row r="23" spans="3:16" ht="33" customHeight="1" x14ac:dyDescent="0.25">
      <c r="C23" s="3"/>
      <c r="D23" s="77" t="s">
        <v>92</v>
      </c>
      <c r="E23" s="3"/>
      <c r="F23" s="78">
        <v>1</v>
      </c>
      <c r="G23" s="3"/>
      <c r="H23" s="3"/>
      <c r="I23" s="3"/>
      <c r="J23" s="3"/>
      <c r="K23" s="3"/>
    </row>
    <row r="24" spans="3:16" x14ac:dyDescent="0.25">
      <c r="C24" s="3"/>
      <c r="D24" s="3"/>
      <c r="E24" s="3"/>
      <c r="F24" s="3"/>
      <c r="G24" s="3"/>
      <c r="H24" s="3"/>
      <c r="I24" s="3"/>
      <c r="J24" s="3"/>
      <c r="K24" s="3"/>
    </row>
    <row r="25" spans="3:16" x14ac:dyDescent="0.25">
      <c r="C25" s="3"/>
      <c r="D25" s="3"/>
      <c r="E25" s="3"/>
      <c r="F25" s="3"/>
      <c r="G25" s="3"/>
      <c r="H25" s="3"/>
      <c r="I25" s="3"/>
      <c r="J25" s="3"/>
      <c r="K25" s="3"/>
    </row>
    <row r="26" spans="3:16" x14ac:dyDescent="0.25">
      <c r="C26" s="3"/>
      <c r="D26" s="3"/>
      <c r="E26" s="3"/>
      <c r="F26" s="3"/>
      <c r="G26" s="3"/>
      <c r="H26" s="3"/>
      <c r="I26" s="3"/>
      <c r="J26" s="3"/>
      <c r="K26" s="3"/>
    </row>
  </sheetData>
  <mergeCells count="6">
    <mergeCell ref="N7:O7"/>
    <mergeCell ref="F17:I19"/>
    <mergeCell ref="D1:I8"/>
    <mergeCell ref="J1:J2"/>
    <mergeCell ref="J3:J4"/>
    <mergeCell ref="J5:J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EnterCurrentDate_FAP_Date">
                <anchor moveWithCells="1" sizeWithCells="1">
                  <from>
                    <xdr:col>2</xdr:col>
                    <xdr:colOff>476250</xdr:colOff>
                    <xdr:row>9</xdr:row>
                    <xdr:rowOff>85725</xdr:rowOff>
                  </from>
                  <to>
                    <xdr:col>2</xdr:col>
                    <xdr:colOff>1876425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EnterCurrentTime_FAP_DAP">
                <anchor moveWithCells="1">
                  <from>
                    <xdr:col>2</xdr:col>
                    <xdr:colOff>476250</xdr:colOff>
                    <xdr:row>11</xdr:row>
                    <xdr:rowOff>38100</xdr:rowOff>
                  </from>
                  <to>
                    <xdr:col>2</xdr:col>
                    <xdr:colOff>1876425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6" name="Button 39">
              <controlPr defaultSize="0" print="0" autoFill="0" autoPict="0" macro="[0]!EnterCurrentTime_FAP_fAP">
                <anchor moveWithCells="1" sizeWithCells="1">
                  <from>
                    <xdr:col>2</xdr:col>
                    <xdr:colOff>476250</xdr:colOff>
                    <xdr:row>13</xdr:row>
                    <xdr:rowOff>38100</xdr:rowOff>
                  </from>
                  <to>
                    <xdr:col>2</xdr:col>
                    <xdr:colOff>1876425</xdr:colOff>
                    <xdr:row>13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01B5C7-820D-4062-AB76-6512D9CCE1D8}">
          <x14:formula1>
            <xm:f>Donnees!$I$8:$K$8</xm:f>
          </x14:formula1>
          <xm:sqref>J10</xm:sqref>
        </x14:dataValidation>
        <x14:dataValidation type="list" allowBlank="1" showInputMessage="1" showErrorMessage="1" xr:uid="{862BE7F1-9634-41BE-BE44-8E09893DC5F2}">
          <x14:formula1>
            <xm:f>OFFSET(Donnees!$I$8,1,MATCH($J10,Donnees!I8:$K$8,0)-1,COUNTA(OFFSET(Donnees!$I$8,1,MATCH($J10,Donnees!$I$8:$K$8,0)-1,7,1)),1)</xm:f>
          </x14:formula1>
          <xm:sqref>J12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F3470-06E7-4213-8149-0DAFD9328EBC}">
  <sheetPr codeName="Sheet10"/>
  <dimension ref="C1:V26"/>
  <sheetViews>
    <sheetView showGridLines="0" topLeftCell="E1" zoomScale="59" workbookViewId="0">
      <selection activeCell="M10" sqref="M10"/>
    </sheetView>
  </sheetViews>
  <sheetFormatPr defaultRowHeight="15" x14ac:dyDescent="0.25"/>
  <cols>
    <col min="2" max="2" width="9.140625" customWidth="1"/>
    <col min="3" max="3" width="2.140625" customWidth="1"/>
    <col min="4" max="4" width="36.42578125" customWidth="1"/>
    <col min="5" max="5" width="47.42578125" bestFit="1" customWidth="1"/>
    <col min="7" max="7" width="19.140625" customWidth="1"/>
    <col min="9" max="9" width="2.140625" customWidth="1"/>
    <col min="11" max="11" width="36.85546875" customWidth="1"/>
    <col min="12" max="12" width="5.85546875" customWidth="1"/>
    <col min="13" max="13" width="82.85546875" customWidth="1"/>
    <col min="14" max="14" width="34.42578125" customWidth="1"/>
    <col min="16" max="16" width="15.28515625" customWidth="1"/>
    <col min="18" max="18" width="34.5703125" bestFit="1" customWidth="1"/>
    <col min="19" max="19" width="37.7109375" bestFit="1" customWidth="1"/>
    <col min="20" max="20" width="61" customWidth="1"/>
    <col min="21" max="21" width="47.85546875" bestFit="1" customWidth="1"/>
    <col min="22" max="22" width="68.28515625" bestFit="1" customWidth="1"/>
  </cols>
  <sheetData>
    <row r="1" spans="3:22" ht="30.75" customHeight="1" x14ac:dyDescent="0.25">
      <c r="C1" s="140"/>
      <c r="D1" s="140"/>
      <c r="E1" s="142" t="s">
        <v>194</v>
      </c>
      <c r="F1" s="143"/>
      <c r="G1" s="143"/>
      <c r="H1" s="143"/>
      <c r="I1" s="143"/>
      <c r="J1" s="143"/>
      <c r="K1" s="143"/>
      <c r="L1" s="143"/>
      <c r="M1" s="143"/>
      <c r="N1" s="141" t="s">
        <v>90</v>
      </c>
      <c r="O1" s="141"/>
      <c r="P1" s="141"/>
    </row>
    <row r="2" spans="3:22" ht="28.5" customHeight="1" x14ac:dyDescent="0.25">
      <c r="C2" s="140"/>
      <c r="D2" s="140"/>
      <c r="E2" s="143"/>
      <c r="F2" s="143"/>
      <c r="G2" s="143"/>
      <c r="H2" s="143"/>
      <c r="I2" s="143"/>
      <c r="J2" s="143"/>
      <c r="K2" s="143"/>
      <c r="L2" s="143"/>
      <c r="M2" s="143"/>
      <c r="N2" s="141" t="s">
        <v>91</v>
      </c>
      <c r="O2" s="141"/>
      <c r="P2" s="141"/>
    </row>
    <row r="3" spans="3:22" ht="26.25" customHeight="1" x14ac:dyDescent="0.25">
      <c r="C3" s="140"/>
      <c r="D3" s="140"/>
      <c r="E3" s="143"/>
      <c r="F3" s="143"/>
      <c r="G3" s="143"/>
      <c r="H3" s="143"/>
      <c r="I3" s="143"/>
      <c r="J3" s="143"/>
      <c r="K3" s="143"/>
      <c r="L3" s="143"/>
      <c r="M3" s="143"/>
      <c r="N3" s="141" t="s">
        <v>87</v>
      </c>
      <c r="O3" s="141"/>
      <c r="P3" s="141"/>
    </row>
    <row r="4" spans="3:22" ht="40.5" customHeight="1" x14ac:dyDescent="0.25">
      <c r="C4" s="140"/>
      <c r="D4" s="140"/>
      <c r="E4" s="143"/>
      <c r="F4" s="143"/>
      <c r="G4" s="143"/>
      <c r="H4" s="143"/>
      <c r="I4" s="143"/>
      <c r="J4" s="143"/>
      <c r="K4" s="143"/>
      <c r="L4" s="143"/>
      <c r="M4" s="143"/>
      <c r="N4" s="141" t="s">
        <v>88</v>
      </c>
      <c r="O4" s="141"/>
      <c r="P4" s="141"/>
    </row>
    <row r="5" spans="3:22" ht="15" customHeight="1" x14ac:dyDescent="0.25">
      <c r="C5" s="140"/>
      <c r="D5" s="140"/>
      <c r="E5" s="143"/>
      <c r="F5" s="143"/>
      <c r="G5" s="143"/>
      <c r="H5" s="143"/>
      <c r="I5" s="143"/>
      <c r="J5" s="143"/>
      <c r="K5" s="143"/>
      <c r="L5" s="143"/>
      <c r="M5" s="143"/>
      <c r="N5" s="141"/>
      <c r="O5" s="141"/>
      <c r="P5" s="141"/>
    </row>
    <row r="6" spans="3:22" ht="43.5" customHeight="1" x14ac:dyDescent="0.25">
      <c r="C6" s="140"/>
      <c r="D6" s="140"/>
      <c r="E6" s="143"/>
      <c r="F6" s="143"/>
      <c r="G6" s="143"/>
      <c r="H6" s="143"/>
      <c r="I6" s="143"/>
      <c r="J6" s="143"/>
      <c r="K6" s="143"/>
      <c r="L6" s="143"/>
      <c r="M6" s="143"/>
      <c r="N6" s="141" t="s">
        <v>89</v>
      </c>
      <c r="O6" s="141"/>
      <c r="P6" s="141"/>
      <c r="R6" s="52"/>
      <c r="S6" s="52"/>
      <c r="T6" s="52"/>
      <c r="U6" s="52"/>
      <c r="V6" s="52"/>
    </row>
    <row r="7" spans="3:22" ht="21" x14ac:dyDescent="0.3">
      <c r="C7" s="46"/>
      <c r="D7" s="46"/>
      <c r="E7" s="46"/>
      <c r="F7" s="46"/>
      <c r="G7" s="46"/>
      <c r="H7" s="46"/>
      <c r="I7" s="47"/>
      <c r="J7" s="46"/>
      <c r="K7" s="46"/>
      <c r="L7" s="46"/>
      <c r="M7" s="46"/>
      <c r="N7" s="49"/>
      <c r="O7" s="46"/>
      <c r="P7" s="46"/>
      <c r="R7" s="24"/>
      <c r="S7" s="24"/>
      <c r="T7" s="24"/>
      <c r="U7" s="24"/>
      <c r="V7" s="24"/>
    </row>
    <row r="8" spans="3:22" ht="35.25" customHeight="1" x14ac:dyDescent="0.3">
      <c r="C8" s="46"/>
      <c r="D8" s="46"/>
      <c r="E8" s="128" t="s">
        <v>103</v>
      </c>
      <c r="F8" s="128"/>
      <c r="G8" s="128"/>
      <c r="H8" s="46"/>
      <c r="I8" s="47"/>
      <c r="J8" s="46"/>
      <c r="K8" s="128" t="s">
        <v>102</v>
      </c>
      <c r="L8" s="128"/>
      <c r="M8" s="128"/>
      <c r="N8" s="94"/>
      <c r="O8" s="49"/>
      <c r="P8" s="46"/>
      <c r="R8" s="24"/>
      <c r="T8" s="24"/>
      <c r="U8" s="24"/>
      <c r="V8" s="24"/>
    </row>
    <row r="9" spans="3:22" ht="19.5" thickBot="1" x14ac:dyDescent="0.35">
      <c r="C9" s="46"/>
      <c r="D9" s="46"/>
      <c r="E9" s="46"/>
      <c r="F9" s="46"/>
      <c r="G9" s="46"/>
      <c r="H9" s="46"/>
      <c r="I9" s="47"/>
      <c r="J9" s="46"/>
      <c r="K9" s="46"/>
      <c r="L9" s="46"/>
      <c r="M9" s="46"/>
      <c r="N9" s="46"/>
      <c r="O9" s="46"/>
      <c r="P9" s="46"/>
      <c r="R9" s="24"/>
      <c r="T9" s="24"/>
      <c r="U9" s="53"/>
      <c r="V9" s="24"/>
    </row>
    <row r="10" spans="3:22" ht="24.95" customHeight="1" thickBot="1" x14ac:dyDescent="0.35">
      <c r="C10" s="46"/>
      <c r="D10" s="46"/>
      <c r="E10" s="48" t="s">
        <v>100</v>
      </c>
      <c r="F10" s="46"/>
      <c r="G10" s="51"/>
      <c r="H10" s="46"/>
      <c r="I10" s="47"/>
      <c r="J10" s="46"/>
      <c r="K10" s="48" t="s">
        <v>105</v>
      </c>
      <c r="L10" s="46"/>
      <c r="M10" s="50"/>
      <c r="N10" s="46"/>
      <c r="O10" s="46"/>
      <c r="P10" s="46"/>
      <c r="R10" s="24"/>
      <c r="S10" s="138" t="s">
        <v>99</v>
      </c>
      <c r="T10" s="139"/>
      <c r="U10" s="24"/>
      <c r="V10" s="24"/>
    </row>
    <row r="11" spans="3:22" ht="21.95" customHeight="1" thickBot="1" x14ac:dyDescent="0.35">
      <c r="C11" s="46"/>
      <c r="D11" s="46"/>
      <c r="E11" s="46"/>
      <c r="F11" s="46"/>
      <c r="G11" s="46"/>
      <c r="H11" s="46"/>
      <c r="I11" s="47"/>
      <c r="J11" s="46"/>
      <c r="K11" s="46"/>
      <c r="L11" s="46"/>
      <c r="M11" s="46"/>
      <c r="N11" s="46"/>
      <c r="O11" s="46"/>
      <c r="P11" s="46"/>
      <c r="R11" s="24"/>
      <c r="S11" s="57" t="s">
        <v>151</v>
      </c>
      <c r="T11" s="60">
        <f>G10</f>
        <v>0</v>
      </c>
      <c r="U11" s="24"/>
      <c r="V11" s="24"/>
    </row>
    <row r="12" spans="3:22" ht="24.95" customHeight="1" thickBot="1" x14ac:dyDescent="0.35">
      <c r="C12" s="46"/>
      <c r="D12" s="46"/>
      <c r="E12" s="48" t="s">
        <v>107</v>
      </c>
      <c r="F12" s="46"/>
      <c r="G12" s="102"/>
      <c r="H12" s="46"/>
      <c r="I12" s="47"/>
      <c r="J12" s="46"/>
      <c r="K12" s="48" t="s">
        <v>111</v>
      </c>
      <c r="L12" s="46"/>
      <c r="M12" s="50"/>
      <c r="N12" s="46"/>
      <c r="O12" s="46"/>
      <c r="P12" s="46"/>
      <c r="R12" s="24"/>
      <c r="S12" s="58" t="s">
        <v>150</v>
      </c>
      <c r="T12" s="61">
        <f>E22</f>
        <v>1</v>
      </c>
      <c r="U12" s="24"/>
      <c r="V12" s="24"/>
    </row>
    <row r="13" spans="3:22" ht="21.75" customHeight="1" thickBot="1" x14ac:dyDescent="0.35">
      <c r="C13" s="46"/>
      <c r="D13" s="46"/>
      <c r="E13" s="46"/>
      <c r="F13" s="46"/>
      <c r="G13" s="46"/>
      <c r="H13" s="46"/>
      <c r="I13" s="47"/>
      <c r="J13" s="46"/>
      <c r="K13" s="46"/>
      <c r="L13" s="46"/>
      <c r="M13" s="46"/>
      <c r="N13" s="46"/>
      <c r="O13" s="46"/>
      <c r="P13" s="46"/>
      <c r="R13" s="24"/>
      <c r="S13" s="58" t="s">
        <v>152</v>
      </c>
      <c r="T13" s="62">
        <f>G12</f>
        <v>0</v>
      </c>
      <c r="U13" s="24"/>
      <c r="V13" s="24"/>
    </row>
    <row r="14" spans="3:22" ht="24.95" customHeight="1" thickBot="1" x14ac:dyDescent="0.35">
      <c r="C14" s="46"/>
      <c r="D14" s="46"/>
      <c r="E14" s="48" t="s">
        <v>108</v>
      </c>
      <c r="F14" s="46"/>
      <c r="G14" s="102"/>
      <c r="H14" s="46"/>
      <c r="I14" s="47"/>
      <c r="J14" s="46"/>
      <c r="K14" s="48" t="s">
        <v>104</v>
      </c>
      <c r="L14" s="46"/>
      <c r="M14" s="50"/>
      <c r="N14" s="46"/>
      <c r="O14" s="46"/>
      <c r="P14" s="46"/>
      <c r="R14" s="24"/>
      <c r="S14" s="58" t="s">
        <v>153</v>
      </c>
      <c r="T14" s="61">
        <f>M10</f>
        <v>0</v>
      </c>
      <c r="U14" s="24"/>
      <c r="V14" s="24"/>
    </row>
    <row r="15" spans="3:22" ht="21.95" customHeight="1" thickBot="1" x14ac:dyDescent="0.35">
      <c r="C15" s="46"/>
      <c r="D15" s="46"/>
      <c r="E15" s="46"/>
      <c r="F15" s="46"/>
      <c r="G15" s="46"/>
      <c r="H15" s="46"/>
      <c r="I15" s="47"/>
      <c r="J15" s="46"/>
      <c r="K15" s="46"/>
      <c r="L15" s="46"/>
      <c r="M15" s="46"/>
      <c r="N15" s="46"/>
      <c r="O15" s="46"/>
      <c r="P15" s="46"/>
      <c r="R15" s="24"/>
      <c r="S15" s="58" t="s">
        <v>154</v>
      </c>
      <c r="T15" s="61">
        <f>M12</f>
        <v>0</v>
      </c>
      <c r="U15" s="24"/>
      <c r="V15" s="24"/>
    </row>
    <row r="16" spans="3:22" ht="24.95" customHeight="1" thickBot="1" x14ac:dyDescent="0.35">
      <c r="C16" s="46"/>
      <c r="D16" s="46"/>
      <c r="E16" s="48" t="s">
        <v>101</v>
      </c>
      <c r="F16" s="46"/>
      <c r="G16" s="102"/>
      <c r="H16" s="46"/>
      <c r="I16" s="47"/>
      <c r="J16" s="46"/>
      <c r="K16" s="48" t="s">
        <v>110</v>
      </c>
      <c r="L16" s="46"/>
      <c r="M16" s="50"/>
      <c r="N16" s="46"/>
      <c r="O16" s="46"/>
      <c r="P16" s="46"/>
      <c r="R16" s="24"/>
      <c r="S16" s="58" t="s">
        <v>155</v>
      </c>
      <c r="T16" s="61">
        <f>M14</f>
        <v>0</v>
      </c>
      <c r="U16" s="24"/>
      <c r="V16" s="24"/>
    </row>
    <row r="17" spans="3:22" ht="21.95" customHeight="1" thickBot="1" x14ac:dyDescent="0.35">
      <c r="C17" s="46"/>
      <c r="D17" s="46"/>
      <c r="E17" s="46"/>
      <c r="F17" s="46"/>
      <c r="G17" s="46"/>
      <c r="H17" s="46"/>
      <c r="I17" s="47"/>
      <c r="J17" s="46"/>
      <c r="K17" s="46"/>
      <c r="L17" s="46"/>
      <c r="M17" s="46"/>
      <c r="N17" s="46"/>
      <c r="O17" s="46"/>
      <c r="P17" s="46"/>
      <c r="R17" s="24"/>
      <c r="S17" s="58" t="s">
        <v>158</v>
      </c>
      <c r="T17" s="61">
        <f>M16</f>
        <v>0</v>
      </c>
      <c r="U17" s="24"/>
      <c r="V17" s="24"/>
    </row>
    <row r="18" spans="3:22" ht="24.95" customHeight="1" thickBot="1" x14ac:dyDescent="0.35">
      <c r="C18" s="46"/>
      <c r="D18" s="46"/>
      <c r="E18" s="48" t="s">
        <v>109</v>
      </c>
      <c r="F18" s="46"/>
      <c r="G18" s="102"/>
      <c r="H18" s="46"/>
      <c r="I18" s="47"/>
      <c r="J18" s="46"/>
      <c r="K18" s="48" t="s">
        <v>106</v>
      </c>
      <c r="L18" s="46"/>
      <c r="M18" s="129"/>
      <c r="N18" s="130"/>
      <c r="O18" s="131"/>
      <c r="P18" s="46"/>
      <c r="R18" s="24"/>
      <c r="S18" s="58" t="s">
        <v>159</v>
      </c>
      <c r="T18" s="61">
        <f>M18</f>
        <v>0</v>
      </c>
      <c r="U18" s="24"/>
      <c r="V18" s="24"/>
    </row>
    <row r="19" spans="3:22" ht="18.75" x14ac:dyDescent="0.3">
      <c r="C19" s="46"/>
      <c r="D19" s="46"/>
      <c r="E19" s="46"/>
      <c r="F19" s="46"/>
      <c r="G19" s="46"/>
      <c r="H19" s="46"/>
      <c r="I19" s="47"/>
      <c r="J19" s="46"/>
      <c r="K19" s="46"/>
      <c r="L19" s="46"/>
      <c r="M19" s="132"/>
      <c r="N19" s="133"/>
      <c r="O19" s="134"/>
      <c r="P19" s="46"/>
      <c r="R19" s="24"/>
      <c r="S19" s="58" t="s">
        <v>156</v>
      </c>
      <c r="T19" s="62">
        <f>G14</f>
        <v>0</v>
      </c>
      <c r="U19" s="24"/>
      <c r="V19" s="24"/>
    </row>
    <row r="20" spans="3:22" ht="19.5" thickBot="1" x14ac:dyDescent="0.3"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135"/>
      <c r="N20" s="136"/>
      <c r="O20" s="137"/>
      <c r="P20" s="46"/>
      <c r="S20" s="58" t="s">
        <v>160</v>
      </c>
      <c r="T20" s="62">
        <f>G16</f>
        <v>0</v>
      </c>
    </row>
    <row r="21" spans="3:22" ht="19.5" thickBot="1" x14ac:dyDescent="0.3"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S21" s="59" t="s">
        <v>161</v>
      </c>
      <c r="T21" s="63">
        <f>G18</f>
        <v>0</v>
      </c>
    </row>
    <row r="22" spans="3:22" ht="39.75" customHeight="1" thickBot="1" x14ac:dyDescent="0.3">
      <c r="C22" s="46"/>
      <c r="D22" s="48" t="s">
        <v>162</v>
      </c>
      <c r="E22" s="50">
        <v>1</v>
      </c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3:22" x14ac:dyDescent="0.25"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3:22" x14ac:dyDescent="0.25"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3:22" x14ac:dyDescent="0.25"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3:22" x14ac:dyDescent="0.25"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</sheetData>
  <mergeCells count="12">
    <mergeCell ref="E8:G8"/>
    <mergeCell ref="K8:M8"/>
    <mergeCell ref="M18:O20"/>
    <mergeCell ref="S10:T10"/>
    <mergeCell ref="C1:D6"/>
    <mergeCell ref="N1:P1"/>
    <mergeCell ref="N2:P2"/>
    <mergeCell ref="N3:P3"/>
    <mergeCell ref="N5:P5"/>
    <mergeCell ref="N4:P4"/>
    <mergeCell ref="N6:P6"/>
    <mergeCell ref="E1:M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EnterCurrentDate_FANP_Date">
                <anchor moveWithCells="1" sizeWithCells="1">
                  <from>
                    <xdr:col>3</xdr:col>
                    <xdr:colOff>104775</xdr:colOff>
                    <xdr:row>9</xdr:row>
                    <xdr:rowOff>28575</xdr:rowOff>
                  </from>
                  <to>
                    <xdr:col>3</xdr:col>
                    <xdr:colOff>1466850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nterCurrentTime_FANP_TA">
                <anchor moveWithCells="1" sizeWithCells="1">
                  <from>
                    <xdr:col>3</xdr:col>
                    <xdr:colOff>104775</xdr:colOff>
                    <xdr:row>11</xdr:row>
                    <xdr:rowOff>0</xdr:rowOff>
                  </from>
                  <to>
                    <xdr:col>3</xdr:col>
                    <xdr:colOff>1466850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EnterCurrentTime_FANP_DI">
                <anchor moveWithCells="1" sizeWithCells="1">
                  <from>
                    <xdr:col>3</xdr:col>
                    <xdr:colOff>104775</xdr:colOff>
                    <xdr:row>12</xdr:row>
                    <xdr:rowOff>219075</xdr:rowOff>
                  </from>
                  <to>
                    <xdr:col>3</xdr:col>
                    <xdr:colOff>1466850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EnterCurrentTime_FANP_FI">
                <anchor moveWithCells="1" sizeWithCells="1">
                  <from>
                    <xdr:col>3</xdr:col>
                    <xdr:colOff>104775</xdr:colOff>
                    <xdr:row>14</xdr:row>
                    <xdr:rowOff>180975</xdr:rowOff>
                  </from>
                  <to>
                    <xdr:col>3</xdr:col>
                    <xdr:colOff>1466850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EnterCurrentTime_FANP_MEM">
                <anchor moveWithCells="1" sizeWithCells="1">
                  <from>
                    <xdr:col>3</xdr:col>
                    <xdr:colOff>104775</xdr:colOff>
                    <xdr:row>16</xdr:row>
                    <xdr:rowOff>228600</xdr:rowOff>
                  </from>
                  <to>
                    <xdr:col>3</xdr:col>
                    <xdr:colOff>1466850</xdr:colOff>
                    <xdr:row>17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D531F5-D8B7-4AF5-99C9-2D334F5FC7BC}">
          <x14:formula1>
            <xm:f>Donnees!$S$8:$W$8</xm:f>
          </x14:formula1>
          <xm:sqref>M10</xm:sqref>
        </x14:dataValidation>
        <x14:dataValidation type="list" allowBlank="1" showInputMessage="1" showErrorMessage="1" xr:uid="{C5DAC759-FB0E-4F5C-B8A7-7C01F8A606A6}">
          <x14:formula1>
            <xm:f>OFFSET(Donnees!$S$8,1,MATCH($M10,Donnees!$S$8:$W$8,0)-1,COUNTA(OFFSET(Donnees!$S$8,1,MATCH($M10,Donnees!$S$8:$W$8,0)-1,17,1)),1)</xm:f>
          </x14:formula1>
          <xm:sqref>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4BC0-ADD8-458F-B385-E08CAE69F52B}">
  <sheetPr codeName="Sheet3"/>
  <dimension ref="C1:M8"/>
  <sheetViews>
    <sheetView workbookViewId="0">
      <selection activeCell="I10" sqref="I10"/>
    </sheetView>
  </sheetViews>
  <sheetFormatPr defaultRowHeight="15" x14ac:dyDescent="0.25"/>
  <cols>
    <col min="3" max="3" width="11" customWidth="1"/>
    <col min="4" max="4" width="27.42578125" customWidth="1"/>
    <col min="5" max="5" width="27.85546875" customWidth="1"/>
    <col min="6" max="6" width="34.42578125" customWidth="1"/>
    <col min="7" max="7" width="32.7109375" customWidth="1"/>
  </cols>
  <sheetData>
    <row r="1" spans="3:13" ht="27" customHeight="1" x14ac:dyDescent="0.25">
      <c r="C1" s="10"/>
      <c r="D1" s="11"/>
      <c r="E1" s="11"/>
      <c r="F1" s="11"/>
      <c r="G1" s="12"/>
    </row>
    <row r="2" spans="3:13" ht="15" customHeight="1" x14ac:dyDescent="0.25">
      <c r="C2" s="147" t="s">
        <v>195</v>
      </c>
      <c r="D2" s="148"/>
      <c r="E2" s="148"/>
      <c r="F2" s="148"/>
      <c r="G2" s="149"/>
    </row>
    <row r="3" spans="3:13" ht="15" customHeight="1" x14ac:dyDescent="0.25">
      <c r="C3" s="147"/>
      <c r="D3" s="148"/>
      <c r="E3" s="148"/>
      <c r="F3" s="148"/>
      <c r="G3" s="149"/>
    </row>
    <row r="4" spans="3:13" x14ac:dyDescent="0.25">
      <c r="C4" s="13"/>
      <c r="D4" s="14"/>
      <c r="E4" s="14"/>
      <c r="F4" s="14"/>
      <c r="G4" s="15"/>
    </row>
    <row r="5" spans="3:13" x14ac:dyDescent="0.25">
      <c r="C5" s="13"/>
      <c r="D5" s="14"/>
      <c r="E5" s="14"/>
      <c r="F5" s="14"/>
      <c r="G5" s="15"/>
    </row>
    <row r="6" spans="3:13" ht="15.75" thickBot="1" x14ac:dyDescent="0.3">
      <c r="C6" s="16"/>
      <c r="D6" s="17"/>
      <c r="E6" s="17"/>
      <c r="F6" s="17"/>
      <c r="G6" s="18"/>
    </row>
    <row r="7" spans="3:13" s="8" customFormat="1" ht="20.100000000000001" customHeight="1" x14ac:dyDescent="0.25">
      <c r="C7" s="96" t="s">
        <v>3</v>
      </c>
      <c r="D7" s="144" t="s">
        <v>4</v>
      </c>
      <c r="E7" s="146"/>
      <c r="F7" s="144" t="s">
        <v>5</v>
      </c>
      <c r="G7" s="145"/>
      <c r="H7"/>
      <c r="I7"/>
      <c r="J7"/>
      <c r="K7"/>
      <c r="L7"/>
      <c r="M7"/>
    </row>
    <row r="8" spans="3:13" s="8" customFormat="1" ht="20.100000000000001" customHeight="1" thickBot="1" x14ac:dyDescent="0.3">
      <c r="C8" s="97" t="s">
        <v>3</v>
      </c>
      <c r="D8" s="98" t="s">
        <v>163</v>
      </c>
      <c r="E8" s="98" t="s">
        <v>31</v>
      </c>
      <c r="F8" s="98" t="s">
        <v>32</v>
      </c>
      <c r="G8" s="99" t="s">
        <v>33</v>
      </c>
      <c r="H8"/>
      <c r="I8"/>
      <c r="J8"/>
      <c r="K8"/>
      <c r="L8"/>
      <c r="M8"/>
    </row>
  </sheetData>
  <mergeCells count="3">
    <mergeCell ref="F7:G7"/>
    <mergeCell ref="D7:E7"/>
    <mergeCell ref="C2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earSheetsData">
                <anchor moveWithCells="1" sizeWithCells="1">
                  <from>
                    <xdr:col>6</xdr:col>
                    <xdr:colOff>295275</xdr:colOff>
                    <xdr:row>3</xdr:row>
                    <xdr:rowOff>104775</xdr:rowOff>
                  </from>
                  <to>
                    <xdr:col>6</xdr:col>
                    <xdr:colOff>2105025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Data_Transfer_to_SQL_SP">
                <anchor moveWithCells="1" sizeWithCells="1">
                  <from>
                    <xdr:col>2</xdr:col>
                    <xdr:colOff>142875</xdr:colOff>
                    <xdr:row>3</xdr:row>
                    <xdr:rowOff>76200</xdr:rowOff>
                  </from>
                  <to>
                    <xdr:col>3</xdr:col>
                    <xdr:colOff>1352550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Transfer_All_Data_To_SQL">
                <anchor moveWithCells="1" sizeWithCells="1">
                  <from>
                    <xdr:col>26</xdr:col>
                    <xdr:colOff>104775</xdr:colOff>
                    <xdr:row>3</xdr:row>
                    <xdr:rowOff>142875</xdr:rowOff>
                  </from>
                  <to>
                    <xdr:col>28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2F510-50BD-433B-AED3-5B0C3B948F04}">
  <sheetPr codeName="Sheet2"/>
  <dimension ref="C1:V30"/>
  <sheetViews>
    <sheetView zoomScale="75" workbookViewId="0">
      <selection activeCell="H12" sqref="H12"/>
    </sheetView>
  </sheetViews>
  <sheetFormatPr defaultRowHeight="15" x14ac:dyDescent="0.25"/>
  <cols>
    <col min="3" max="3" width="21.7109375" bestFit="1" customWidth="1"/>
    <col min="4" max="4" width="11.140625" customWidth="1"/>
    <col min="5" max="5" width="26.7109375" bestFit="1" customWidth="1"/>
    <col min="6" max="6" width="23.140625" bestFit="1" customWidth="1"/>
    <col min="7" max="7" width="31.28515625" bestFit="1" customWidth="1"/>
    <col min="8" max="8" width="25.5703125" bestFit="1" customWidth="1"/>
    <col min="9" max="9" width="29.140625" customWidth="1"/>
    <col min="10" max="10" width="26.7109375" bestFit="1" customWidth="1"/>
    <col min="13" max="13" width="18.140625" customWidth="1"/>
  </cols>
  <sheetData>
    <row r="1" spans="3:22" x14ac:dyDescent="0.25">
      <c r="C1" s="10"/>
      <c r="D1" s="11"/>
      <c r="E1" s="11"/>
      <c r="F1" s="11"/>
      <c r="G1" s="11"/>
      <c r="H1" s="11"/>
      <c r="I1" s="11"/>
      <c r="J1" s="12"/>
    </row>
    <row r="2" spans="3:22" x14ac:dyDescent="0.25">
      <c r="C2" s="13"/>
      <c r="D2" s="14"/>
      <c r="E2" s="14"/>
      <c r="F2" s="14"/>
      <c r="G2" s="14"/>
      <c r="H2" s="14"/>
      <c r="I2" s="14"/>
      <c r="J2" s="15"/>
    </row>
    <row r="3" spans="3:22" ht="15" customHeight="1" x14ac:dyDescent="0.25">
      <c r="C3" s="147" t="s">
        <v>6</v>
      </c>
      <c r="D3" s="148"/>
      <c r="E3" s="148"/>
      <c r="F3" s="148"/>
      <c r="G3" s="148"/>
      <c r="H3" s="148"/>
      <c r="I3" s="148"/>
      <c r="J3" s="149"/>
    </row>
    <row r="4" spans="3:22" x14ac:dyDescent="0.25">
      <c r="C4" s="147"/>
      <c r="D4" s="148"/>
      <c r="E4" s="148"/>
      <c r="F4" s="148"/>
      <c r="G4" s="148"/>
      <c r="H4" s="148"/>
      <c r="I4" s="148"/>
      <c r="J4" s="149"/>
    </row>
    <row r="5" spans="3:22" x14ac:dyDescent="0.25">
      <c r="C5" s="13"/>
      <c r="D5" s="14"/>
      <c r="E5" s="14"/>
      <c r="F5" s="14"/>
      <c r="G5" s="14"/>
      <c r="H5" s="14"/>
      <c r="I5" s="14"/>
      <c r="J5" s="15"/>
    </row>
    <row r="6" spans="3:22" x14ac:dyDescent="0.25">
      <c r="C6" s="13"/>
      <c r="D6" s="14"/>
      <c r="E6" s="14"/>
      <c r="F6" s="14"/>
      <c r="G6" s="14"/>
      <c r="H6" s="14"/>
      <c r="I6" s="14"/>
      <c r="J6" s="15"/>
    </row>
    <row r="7" spans="3:22" ht="32.25" customHeight="1" thickBot="1" x14ac:dyDescent="0.3">
      <c r="C7" s="16"/>
      <c r="D7" s="17"/>
      <c r="E7" s="17"/>
      <c r="F7" s="17"/>
      <c r="G7" s="17"/>
      <c r="H7" s="17"/>
      <c r="I7" s="17"/>
      <c r="J7" s="18"/>
    </row>
    <row r="8" spans="3:22" s="8" customFormat="1" ht="30.75" customHeight="1" thickBot="1" x14ac:dyDescent="0.3">
      <c r="C8" s="170" t="s">
        <v>164</v>
      </c>
      <c r="D8" s="171" t="s">
        <v>0</v>
      </c>
      <c r="E8" s="171" t="s">
        <v>26</v>
      </c>
      <c r="F8" s="171" t="s">
        <v>27</v>
      </c>
      <c r="G8" s="171" t="s">
        <v>29</v>
      </c>
      <c r="H8" s="171" t="s">
        <v>30</v>
      </c>
      <c r="I8" s="171" t="s">
        <v>2</v>
      </c>
      <c r="J8" s="172" t="s">
        <v>28</v>
      </c>
      <c r="K8"/>
      <c r="L8"/>
      <c r="M8"/>
      <c r="N8"/>
      <c r="O8"/>
      <c r="P8"/>
      <c r="Q8"/>
      <c r="R8"/>
      <c r="S8"/>
      <c r="T8"/>
      <c r="U8"/>
      <c r="V8"/>
    </row>
    <row r="9" spans="3:22" x14ac:dyDescent="0.25">
      <c r="D9" s="83"/>
      <c r="E9" s="32"/>
      <c r="F9" s="32"/>
      <c r="J9" s="32"/>
    </row>
    <row r="10" spans="3:22" x14ac:dyDescent="0.25">
      <c r="D10" s="83"/>
      <c r="E10" s="32"/>
      <c r="F10" s="32"/>
      <c r="J10" s="32"/>
    </row>
    <row r="11" spans="3:22" x14ac:dyDescent="0.25">
      <c r="D11" s="83"/>
      <c r="E11" s="32"/>
      <c r="F11" s="32"/>
      <c r="J11" s="32"/>
    </row>
    <row r="12" spans="3:22" x14ac:dyDescent="0.25">
      <c r="D12" s="83"/>
      <c r="E12" s="32"/>
      <c r="F12" s="32"/>
      <c r="J12" s="32"/>
    </row>
    <row r="13" spans="3:22" x14ac:dyDescent="0.25">
      <c r="D13" s="83"/>
      <c r="E13" s="32"/>
      <c r="F13" s="32"/>
      <c r="J13" s="32"/>
    </row>
    <row r="14" spans="3:22" x14ac:dyDescent="0.25">
      <c r="D14" s="83"/>
      <c r="E14" s="32"/>
      <c r="F14" s="32"/>
      <c r="J14" s="32"/>
    </row>
    <row r="15" spans="3:22" x14ac:dyDescent="0.25">
      <c r="D15" s="83"/>
      <c r="E15" s="32"/>
      <c r="F15" s="32"/>
      <c r="J15" s="32"/>
    </row>
    <row r="16" spans="3:22" x14ac:dyDescent="0.25">
      <c r="D16" s="83"/>
      <c r="E16" s="32"/>
      <c r="F16" s="32"/>
      <c r="J16" s="32"/>
    </row>
    <row r="17" spans="4:10" x14ac:dyDescent="0.25">
      <c r="D17" s="83"/>
      <c r="E17" s="32"/>
      <c r="F17" s="32"/>
      <c r="J17" s="32"/>
    </row>
    <row r="18" spans="4:10" x14ac:dyDescent="0.25">
      <c r="D18" s="83"/>
      <c r="E18" s="32"/>
      <c r="F18" s="32"/>
      <c r="J18" s="32"/>
    </row>
    <row r="19" spans="4:10" x14ac:dyDescent="0.25">
      <c r="D19" s="83"/>
      <c r="E19" s="32"/>
      <c r="F19" s="32"/>
      <c r="J19" s="32"/>
    </row>
    <row r="20" spans="4:10" x14ac:dyDescent="0.25">
      <c r="D20" s="83"/>
      <c r="E20" s="32"/>
      <c r="F20" s="32"/>
      <c r="J20" s="32"/>
    </row>
    <row r="21" spans="4:10" x14ac:dyDescent="0.25">
      <c r="D21" s="83"/>
      <c r="E21" s="32"/>
      <c r="F21" s="32"/>
      <c r="J21" s="32"/>
    </row>
    <row r="22" spans="4:10" x14ac:dyDescent="0.25">
      <c r="D22" s="83"/>
      <c r="E22" s="32"/>
      <c r="F22" s="32"/>
      <c r="J22" s="32"/>
    </row>
    <row r="23" spans="4:10" x14ac:dyDescent="0.25">
      <c r="D23" s="83"/>
      <c r="E23" s="32"/>
      <c r="F23" s="32"/>
      <c r="J23" s="32"/>
    </row>
    <row r="24" spans="4:10" x14ac:dyDescent="0.25">
      <c r="D24" s="83"/>
      <c r="E24" s="32"/>
      <c r="F24" s="32"/>
      <c r="J24" s="32"/>
    </row>
    <row r="25" spans="4:10" x14ac:dyDescent="0.25">
      <c r="D25" s="83"/>
      <c r="E25" s="32"/>
      <c r="F25" s="32"/>
      <c r="J25" s="32"/>
    </row>
    <row r="26" spans="4:10" x14ac:dyDescent="0.25">
      <c r="D26" s="83"/>
      <c r="E26" s="32"/>
      <c r="F26" s="32"/>
      <c r="J26" s="32"/>
    </row>
    <row r="27" spans="4:10" x14ac:dyDescent="0.25">
      <c r="D27" s="83"/>
      <c r="E27" s="32"/>
      <c r="F27" s="32"/>
      <c r="J27" s="32"/>
    </row>
    <row r="28" spans="4:10" x14ac:dyDescent="0.25">
      <c r="D28" s="83"/>
      <c r="E28" s="32"/>
      <c r="F28" s="32"/>
      <c r="J28" s="32"/>
    </row>
    <row r="29" spans="4:10" x14ac:dyDescent="0.25">
      <c r="D29" s="83"/>
      <c r="E29" s="32"/>
      <c r="F29" s="32"/>
      <c r="J29" s="32"/>
    </row>
    <row r="30" spans="4:10" x14ac:dyDescent="0.25">
      <c r="D30" s="83"/>
      <c r="E30" s="32"/>
      <c r="F30" s="32"/>
      <c r="J30" s="32"/>
    </row>
  </sheetData>
  <mergeCells count="1">
    <mergeCell ref="C3:J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a_Transfer_to_SQL_AP">
                <anchor moveWithCells="1" sizeWithCells="1">
                  <from>
                    <xdr:col>2</xdr:col>
                    <xdr:colOff>847725</xdr:colOff>
                    <xdr:row>5</xdr:row>
                    <xdr:rowOff>0</xdr:rowOff>
                  </from>
                  <to>
                    <xdr:col>4</xdr:col>
                    <xdr:colOff>590550</xdr:colOff>
                    <xdr:row>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82FB-5DC7-4314-B78C-38EC35C8484C}">
  <sheetPr codeName="Sheet1"/>
  <dimension ref="A1:AT47"/>
  <sheetViews>
    <sheetView tabSelected="1" topLeftCell="G1" zoomScale="89" zoomScaleNormal="70" zoomScalePageLayoutView="34" workbookViewId="0">
      <selection activeCell="F13" sqref="F13"/>
    </sheetView>
  </sheetViews>
  <sheetFormatPr defaultRowHeight="15" x14ac:dyDescent="0.25"/>
  <cols>
    <col min="1" max="1" width="14.85546875" customWidth="1"/>
    <col min="2" max="2" width="18.5703125" customWidth="1"/>
    <col min="3" max="3" width="11" bestFit="1" customWidth="1"/>
    <col min="4" max="4" width="17.5703125" bestFit="1" customWidth="1"/>
    <col min="5" max="5" width="30" bestFit="1" customWidth="1"/>
    <col min="6" max="6" width="37" bestFit="1" customWidth="1"/>
    <col min="7" max="7" width="31.7109375" bestFit="1" customWidth="1"/>
    <col min="8" max="8" width="23.28515625" bestFit="1" customWidth="1"/>
    <col min="9" max="9" width="47" customWidth="1"/>
    <col min="10" max="10" width="26.5703125" bestFit="1" customWidth="1"/>
    <col min="11" max="11" width="23.140625" bestFit="1" customWidth="1"/>
    <col min="12" max="12" width="31.7109375" bestFit="1" customWidth="1"/>
    <col min="13" max="13" width="26.7109375" bestFit="1" customWidth="1"/>
    <col min="14" max="14" width="23.28515625" customWidth="1"/>
    <col min="16" max="16" width="14.140625" customWidth="1"/>
    <col min="19" max="19" width="27.85546875" customWidth="1"/>
    <col min="20" max="20" width="35.28515625" customWidth="1"/>
  </cols>
  <sheetData>
    <row r="1" spans="1:32" ht="34.5" customHeight="1" x14ac:dyDescent="0.25">
      <c r="A1" s="5"/>
      <c r="B1" s="150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2"/>
    </row>
    <row r="2" spans="1:32" ht="48.75" customHeight="1" x14ac:dyDescent="0.25">
      <c r="A2" s="5"/>
      <c r="B2" s="157" t="s">
        <v>196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9"/>
    </row>
    <row r="3" spans="1:32" ht="17.25" customHeight="1" x14ac:dyDescent="0.25">
      <c r="A3" s="5"/>
      <c r="B3" s="160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2"/>
    </row>
    <row r="4" spans="1:32" ht="17.25" customHeight="1" x14ac:dyDescent="0.25">
      <c r="A4" s="6"/>
      <c r="B4" s="90"/>
      <c r="C4" s="44"/>
      <c r="D4" s="81"/>
      <c r="E4" s="44"/>
      <c r="F4" s="44"/>
      <c r="G4" s="44"/>
      <c r="H4" s="44"/>
      <c r="I4" s="44"/>
      <c r="J4" s="81"/>
      <c r="K4" s="81"/>
      <c r="L4" s="153"/>
      <c r="M4" s="153"/>
      <c r="N4" s="154"/>
    </row>
    <row r="5" spans="1:32" ht="24" customHeight="1" thickBot="1" x14ac:dyDescent="0.3">
      <c r="B5" s="91"/>
      <c r="C5" s="45"/>
      <c r="D5" s="82"/>
      <c r="E5" s="45"/>
      <c r="F5" s="45"/>
      <c r="G5" s="45"/>
      <c r="H5" s="45"/>
      <c r="I5" s="45"/>
      <c r="J5" s="82"/>
      <c r="K5" s="82"/>
      <c r="L5" s="153"/>
      <c r="M5" s="155"/>
      <c r="N5" s="156"/>
    </row>
    <row r="6" spans="1:32" ht="21.75" customHeight="1" x14ac:dyDescent="0.25">
      <c r="B6" s="173" t="s">
        <v>55</v>
      </c>
      <c r="C6" s="174" t="s">
        <v>1</v>
      </c>
      <c r="D6" s="175"/>
      <c r="E6" s="176" t="s">
        <v>12</v>
      </c>
      <c r="F6" s="176"/>
      <c r="G6" s="176"/>
      <c r="H6" s="176"/>
      <c r="I6" s="177"/>
      <c r="J6" s="174" t="s">
        <v>13</v>
      </c>
      <c r="K6" s="175"/>
      <c r="L6" s="178" t="s">
        <v>14</v>
      </c>
      <c r="M6" s="179" t="s">
        <v>157</v>
      </c>
      <c r="N6" s="180"/>
    </row>
    <row r="7" spans="1:32" s="22" customFormat="1" ht="32.25" customHeight="1" thickBot="1" x14ac:dyDescent="0.3">
      <c r="B7" s="181" t="s">
        <v>0</v>
      </c>
      <c r="C7" s="182" t="s">
        <v>19</v>
      </c>
      <c r="D7" s="183" t="s">
        <v>18</v>
      </c>
      <c r="E7" s="184" t="s">
        <v>23</v>
      </c>
      <c r="F7" s="185" t="s">
        <v>24</v>
      </c>
      <c r="G7" s="185" t="s">
        <v>25</v>
      </c>
      <c r="H7" s="185" t="s">
        <v>179</v>
      </c>
      <c r="I7" s="186" t="s">
        <v>2</v>
      </c>
      <c r="J7" s="187" t="s">
        <v>16</v>
      </c>
      <c r="K7" s="183" t="s">
        <v>17</v>
      </c>
      <c r="L7" s="188" t="s">
        <v>21</v>
      </c>
      <c r="M7" s="187" t="s">
        <v>20</v>
      </c>
      <c r="N7" s="189" t="s">
        <v>22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x14ac:dyDescent="0.25">
      <c r="B8" s="83"/>
      <c r="D8" s="32"/>
      <c r="F8" s="105"/>
      <c r="J8" s="104"/>
      <c r="K8" s="104"/>
      <c r="L8" s="104"/>
      <c r="M8" s="104"/>
      <c r="N8" s="104"/>
    </row>
    <row r="9" spans="1:32" x14ac:dyDescent="0.25">
      <c r="B9" s="83"/>
      <c r="D9" s="32"/>
      <c r="J9" s="104"/>
      <c r="K9" s="104"/>
      <c r="L9" s="104"/>
      <c r="M9" s="104"/>
      <c r="N9" s="104"/>
    </row>
    <row r="10" spans="1:32" x14ac:dyDescent="0.25">
      <c r="B10" s="83"/>
      <c r="D10" s="32"/>
      <c r="J10" s="104"/>
      <c r="K10" s="104"/>
      <c r="L10" s="104"/>
      <c r="M10" s="104"/>
      <c r="N10" s="104"/>
    </row>
    <row r="11" spans="1:32" x14ac:dyDescent="0.25">
      <c r="B11" s="83"/>
      <c r="D11" s="32"/>
      <c r="F11" s="105"/>
      <c r="J11" s="104"/>
      <c r="K11" s="104"/>
      <c r="L11" s="104"/>
      <c r="M11" s="104"/>
      <c r="N11" s="104"/>
    </row>
    <row r="12" spans="1:32" x14ac:dyDescent="0.25">
      <c r="B12" s="83"/>
      <c r="D12" s="32"/>
      <c r="J12" s="104"/>
      <c r="K12" s="104"/>
      <c r="L12" s="104"/>
      <c r="M12" s="104"/>
      <c r="N12" s="104"/>
    </row>
    <row r="13" spans="1:32" x14ac:dyDescent="0.25">
      <c r="B13" s="83"/>
      <c r="D13" s="32"/>
      <c r="J13" s="104"/>
      <c r="K13" s="104"/>
      <c r="L13" s="104"/>
      <c r="M13" s="104"/>
      <c r="N13" s="104"/>
    </row>
    <row r="14" spans="1:32" x14ac:dyDescent="0.25">
      <c r="B14" s="83"/>
      <c r="D14" s="32"/>
      <c r="J14" s="104"/>
      <c r="K14" s="104"/>
      <c r="L14" s="104"/>
      <c r="M14" s="104"/>
      <c r="N14" s="104"/>
    </row>
    <row r="15" spans="1:32" x14ac:dyDescent="0.25">
      <c r="B15" s="83"/>
      <c r="D15" s="32"/>
      <c r="J15" s="104"/>
      <c r="K15" s="104"/>
      <c r="L15" s="104"/>
      <c r="M15" s="104"/>
      <c r="N15" s="104"/>
    </row>
    <row r="16" spans="1:32" x14ac:dyDescent="0.25">
      <c r="B16" s="83"/>
      <c r="D16" s="32"/>
      <c r="F16" s="105"/>
      <c r="J16" s="104"/>
      <c r="K16" s="104"/>
      <c r="L16" s="104"/>
      <c r="M16" s="104"/>
      <c r="N16" s="104"/>
    </row>
    <row r="17" spans="1:38" x14ac:dyDescent="0.25">
      <c r="B17" s="83"/>
      <c r="D17" s="32"/>
      <c r="J17" s="104"/>
      <c r="K17" s="104"/>
      <c r="L17" s="104"/>
      <c r="M17" s="104"/>
      <c r="N17" s="104"/>
    </row>
    <row r="18" spans="1:38" x14ac:dyDescent="0.25">
      <c r="B18" s="83"/>
      <c r="D18" s="32"/>
      <c r="F18" s="105"/>
      <c r="J18" s="104"/>
      <c r="K18" s="104"/>
      <c r="L18" s="104"/>
      <c r="M18" s="104"/>
      <c r="N18" s="104"/>
    </row>
    <row r="19" spans="1:38" x14ac:dyDescent="0.25">
      <c r="B19" s="83"/>
      <c r="D19" s="32"/>
      <c r="J19" s="104"/>
      <c r="K19" s="104"/>
      <c r="L19" s="104"/>
      <c r="M19" s="104"/>
      <c r="N19" s="104"/>
    </row>
    <row r="20" spans="1:38" x14ac:dyDescent="0.25">
      <c r="B20" s="83"/>
      <c r="D20" s="32"/>
      <c r="J20" s="104"/>
      <c r="K20" s="104"/>
      <c r="L20" s="104"/>
      <c r="M20" s="104"/>
      <c r="N20" s="104"/>
    </row>
    <row r="21" spans="1:38" x14ac:dyDescent="0.25">
      <c r="B21" s="83"/>
      <c r="D21" s="32"/>
      <c r="J21" s="104"/>
      <c r="K21" s="104"/>
      <c r="L21" s="104"/>
      <c r="M21" s="104"/>
      <c r="N21" s="104"/>
    </row>
    <row r="22" spans="1:38" x14ac:dyDescent="0.25">
      <c r="B22" s="83"/>
      <c r="D22" s="32"/>
      <c r="J22" s="104"/>
      <c r="K22" s="104"/>
      <c r="L22" s="104"/>
      <c r="M22" s="104"/>
      <c r="N22" s="104"/>
    </row>
    <row r="23" spans="1:38" x14ac:dyDescent="0.25">
      <c r="B23" s="83"/>
      <c r="D23" s="32"/>
      <c r="F23" s="105"/>
      <c r="J23" s="104"/>
      <c r="K23" s="104"/>
      <c r="L23" s="104"/>
      <c r="M23" s="104"/>
      <c r="N23" s="104"/>
    </row>
    <row r="24" spans="1:38" x14ac:dyDescent="0.25">
      <c r="B24" s="83"/>
      <c r="D24" s="32"/>
      <c r="J24" s="104"/>
      <c r="K24" s="104"/>
      <c r="L24" s="104"/>
      <c r="M24" s="104"/>
      <c r="N24" s="104"/>
    </row>
    <row r="25" spans="1:38" x14ac:dyDescent="0.25">
      <c r="B25" s="83"/>
      <c r="D25" s="32"/>
      <c r="J25" s="104"/>
      <c r="K25" s="104"/>
      <c r="L25" s="104"/>
      <c r="M25" s="104"/>
      <c r="N25" s="104"/>
    </row>
    <row r="26" spans="1:38" x14ac:dyDescent="0.25">
      <c r="B26" s="83"/>
      <c r="D26" s="32"/>
      <c r="F26" s="105"/>
      <c r="J26" s="104"/>
      <c r="K26" s="104"/>
      <c r="L26" s="104"/>
      <c r="M26" s="104"/>
      <c r="N26" s="104"/>
    </row>
    <row r="27" spans="1:38" x14ac:dyDescent="0.25">
      <c r="B27" s="83"/>
      <c r="D27" s="32"/>
      <c r="J27" s="104"/>
      <c r="K27" s="104"/>
      <c r="L27" s="104"/>
      <c r="M27" s="104"/>
      <c r="N27" s="104"/>
    </row>
    <row r="28" spans="1:38" s="100" customFormat="1" x14ac:dyDescent="0.25">
      <c r="A28"/>
      <c r="B28" s="83"/>
      <c r="C28"/>
      <c r="D28" s="32"/>
      <c r="E28"/>
      <c r="F28"/>
      <c r="G28"/>
      <c r="H28"/>
      <c r="I28"/>
      <c r="J28" s="104"/>
      <c r="K28" s="104"/>
      <c r="L28" s="104"/>
      <c r="M28" s="104"/>
      <c r="N28" s="104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 s="100" t="s">
        <v>197</v>
      </c>
      <c r="AH28" s="100" t="s">
        <v>198</v>
      </c>
      <c r="AI28" s="100" t="s">
        <v>199</v>
      </c>
      <c r="AJ28" s="100" t="s">
        <v>200</v>
      </c>
      <c r="AK28" s="100" t="s">
        <v>202</v>
      </c>
      <c r="AL28" s="100" t="s">
        <v>201</v>
      </c>
    </row>
    <row r="29" spans="1:38" x14ac:dyDescent="0.25">
      <c r="B29" s="83"/>
      <c r="D29" s="103"/>
      <c r="J29" s="104"/>
      <c r="K29" s="104"/>
      <c r="L29" s="104"/>
      <c r="M29" s="104"/>
      <c r="N29" s="104"/>
    </row>
    <row r="30" spans="1:38" x14ac:dyDescent="0.25">
      <c r="B30" s="83"/>
      <c r="D30" s="103"/>
      <c r="J30" s="104"/>
      <c r="K30" s="104"/>
      <c r="L30" s="104"/>
      <c r="M30" s="104"/>
      <c r="N30" s="104"/>
    </row>
    <row r="31" spans="1:38" x14ac:dyDescent="0.25">
      <c r="B31" s="83"/>
      <c r="D31" s="103"/>
      <c r="F31" s="105"/>
      <c r="J31" s="104"/>
      <c r="K31" s="104"/>
      <c r="L31" s="104"/>
      <c r="M31" s="104"/>
      <c r="N31" s="104"/>
    </row>
    <row r="32" spans="1:38" x14ac:dyDescent="0.25">
      <c r="B32" s="83"/>
      <c r="D32" s="103"/>
      <c r="J32" s="104"/>
      <c r="K32" s="104"/>
      <c r="L32" s="104"/>
      <c r="M32" s="104"/>
      <c r="N32" s="104"/>
    </row>
    <row r="33" spans="2:46" x14ac:dyDescent="0.25">
      <c r="B33" s="83"/>
      <c r="D33" s="103"/>
      <c r="J33" s="104"/>
      <c r="K33" s="104"/>
      <c r="L33" s="104"/>
      <c r="M33" s="104"/>
      <c r="N33" s="104"/>
    </row>
    <row r="34" spans="2:46" x14ac:dyDescent="0.25">
      <c r="B34" s="83"/>
      <c r="D34" s="103"/>
      <c r="J34" s="104"/>
      <c r="K34" s="104"/>
      <c r="L34" s="104"/>
      <c r="M34" s="104"/>
      <c r="N34" s="104"/>
    </row>
    <row r="35" spans="2:46" x14ac:dyDescent="0.25">
      <c r="B35" s="83"/>
      <c r="D35" s="103"/>
      <c r="J35" s="104"/>
      <c r="K35" s="104"/>
      <c r="L35" s="104"/>
      <c r="M35" s="104"/>
      <c r="N35" s="104"/>
    </row>
    <row r="36" spans="2:46" x14ac:dyDescent="0.25">
      <c r="B36" s="83"/>
      <c r="D36" s="103"/>
      <c r="J36" s="104"/>
      <c r="K36" s="104"/>
      <c r="L36" s="104"/>
      <c r="M36" s="104"/>
      <c r="N36" s="104"/>
    </row>
    <row r="37" spans="2:46" x14ac:dyDescent="0.25">
      <c r="B37" s="83"/>
      <c r="D37" s="103"/>
      <c r="J37" s="104"/>
      <c r="K37" s="104"/>
      <c r="L37" s="104"/>
      <c r="M37" s="104"/>
      <c r="N37" s="104"/>
    </row>
    <row r="38" spans="2:46" x14ac:dyDescent="0.25">
      <c r="B38" s="83"/>
      <c r="D38" s="103"/>
      <c r="J38" s="104"/>
      <c r="K38" s="104"/>
      <c r="L38" s="104"/>
      <c r="M38" s="104"/>
      <c r="N38" s="104"/>
    </row>
    <row r="39" spans="2:46" x14ac:dyDescent="0.25">
      <c r="B39" s="83"/>
      <c r="D39" s="103"/>
      <c r="J39" s="104"/>
      <c r="K39" s="104"/>
      <c r="L39" s="104"/>
      <c r="M39" s="104"/>
      <c r="N39" s="104"/>
      <c r="AO39" t="s">
        <v>197</v>
      </c>
      <c r="AP39" t="s">
        <v>200</v>
      </c>
    </row>
    <row r="40" spans="2:46" x14ac:dyDescent="0.25">
      <c r="B40" s="83"/>
      <c r="D40" s="103"/>
      <c r="J40" s="104"/>
      <c r="K40" s="104"/>
      <c r="L40" s="104"/>
      <c r="M40" s="104"/>
      <c r="N40" s="104"/>
      <c r="AM40">
        <v>5</v>
      </c>
      <c r="AN40" s="83">
        <v>45827</v>
      </c>
      <c r="AO40" s="32">
        <v>0.90689814814814818</v>
      </c>
      <c r="AP40" s="32">
        <v>0.91666666666666663</v>
      </c>
      <c r="AQ40" t="s">
        <v>67</v>
      </c>
      <c r="AR40" t="s">
        <v>71</v>
      </c>
      <c r="AS40" t="s">
        <v>186</v>
      </c>
      <c r="AT40" s="32">
        <f>AP40-AO40</f>
        <v>9.7685185185184542E-3</v>
      </c>
    </row>
    <row r="41" spans="2:46" x14ac:dyDescent="0.25">
      <c r="B41" s="83"/>
      <c r="D41" s="103"/>
      <c r="J41" s="104"/>
      <c r="K41" s="104"/>
      <c r="L41" s="104"/>
      <c r="M41" s="104"/>
      <c r="N41" s="104"/>
      <c r="AM41">
        <v>4</v>
      </c>
      <c r="AN41" s="83">
        <v>45827</v>
      </c>
      <c r="AO41" s="32">
        <v>0.71086805555555554</v>
      </c>
      <c r="AP41" s="32">
        <v>0.73665509259259254</v>
      </c>
      <c r="AQ41" t="s">
        <v>67</v>
      </c>
      <c r="AR41" t="s">
        <v>71</v>
      </c>
      <c r="AS41" t="s">
        <v>187</v>
      </c>
      <c r="AT41" s="32">
        <f t="shared" ref="AT41:AT44" si="0">AP41-AO41</f>
        <v>2.5787037037036997E-2</v>
      </c>
    </row>
    <row r="42" spans="2:46" x14ac:dyDescent="0.25">
      <c r="B42" s="83"/>
      <c r="D42" s="103"/>
      <c r="J42" s="104"/>
      <c r="K42" s="104"/>
      <c r="L42" s="104"/>
      <c r="M42" s="104"/>
      <c r="N42" s="104"/>
      <c r="AM42">
        <v>3</v>
      </c>
      <c r="AN42" s="83">
        <v>45827</v>
      </c>
      <c r="AO42" s="32">
        <v>0.60585648148148152</v>
      </c>
      <c r="AP42" s="32">
        <v>0.66409722222222223</v>
      </c>
      <c r="AQ42" t="s">
        <v>67</v>
      </c>
      <c r="AR42" t="s">
        <v>182</v>
      </c>
      <c r="AS42" t="s">
        <v>185</v>
      </c>
      <c r="AT42" s="32">
        <f t="shared" si="0"/>
        <v>5.8240740740740704E-2</v>
      </c>
    </row>
    <row r="43" spans="2:46" x14ac:dyDescent="0.25">
      <c r="B43" s="83"/>
      <c r="D43" s="103"/>
      <c r="F43" s="105"/>
      <c r="J43" s="104"/>
      <c r="K43" s="104"/>
      <c r="L43" s="104"/>
      <c r="M43" s="104"/>
      <c r="N43" s="104"/>
      <c r="AM43">
        <v>2</v>
      </c>
      <c r="AN43" s="83">
        <v>45827</v>
      </c>
      <c r="AO43" s="32">
        <v>0.29574074074074075</v>
      </c>
      <c r="AP43" s="32">
        <v>0.33584490740740741</v>
      </c>
      <c r="AQ43" t="s">
        <v>61</v>
      </c>
      <c r="AR43" t="s">
        <v>181</v>
      </c>
      <c r="AS43" t="s">
        <v>184</v>
      </c>
      <c r="AT43" s="32">
        <f t="shared" si="0"/>
        <v>4.0104166666666663E-2</v>
      </c>
    </row>
    <row r="44" spans="2:46" x14ac:dyDescent="0.25">
      <c r="B44" s="83"/>
      <c r="D44" s="103"/>
      <c r="F44" s="105"/>
      <c r="J44" s="104"/>
      <c r="K44" s="104"/>
      <c r="L44" s="104"/>
      <c r="M44" s="104"/>
      <c r="N44" s="104"/>
      <c r="AM44">
        <v>1</v>
      </c>
      <c r="AN44" s="83">
        <v>45827</v>
      </c>
      <c r="AO44" s="32">
        <v>0.25</v>
      </c>
      <c r="AP44" s="32">
        <v>0.29574074074074075</v>
      </c>
      <c r="AQ44" t="s">
        <v>67</v>
      </c>
      <c r="AR44" t="s">
        <v>71</v>
      </c>
      <c r="AS44" t="s">
        <v>183</v>
      </c>
      <c r="AT44" s="32">
        <f t="shared" si="0"/>
        <v>4.5740740740740748E-2</v>
      </c>
    </row>
    <row r="45" spans="2:46" x14ac:dyDescent="0.25">
      <c r="B45" s="83"/>
      <c r="D45" s="103"/>
      <c r="J45" s="104"/>
      <c r="K45" s="104"/>
      <c r="L45" s="104"/>
      <c r="M45" s="104"/>
      <c r="N45" s="104"/>
    </row>
    <row r="46" spans="2:46" x14ac:dyDescent="0.25">
      <c r="B46" s="83"/>
      <c r="D46" s="103"/>
      <c r="J46" s="104"/>
      <c r="K46" s="104"/>
      <c r="L46" s="104"/>
      <c r="M46" s="104"/>
      <c r="N46" s="104"/>
    </row>
    <row r="47" spans="2:46" x14ac:dyDescent="0.25">
      <c r="B47" s="83"/>
      <c r="D47" s="103"/>
      <c r="J47" s="104"/>
      <c r="K47" s="104"/>
      <c r="L47" s="104"/>
      <c r="M47" s="104"/>
      <c r="N47" s="104"/>
    </row>
  </sheetData>
  <mergeCells count="8">
    <mergeCell ref="B1:N1"/>
    <mergeCell ref="L4:N5"/>
    <mergeCell ref="C6:D6"/>
    <mergeCell ref="B2:N2"/>
    <mergeCell ref="B3:N3"/>
    <mergeCell ref="J6:K6"/>
    <mergeCell ref="E6:I6"/>
    <mergeCell ref="M6:N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Data_Transfer_to_SQL_ANP">
                <anchor moveWithCells="1" siz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19050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41A70-852A-4E1B-80DF-E7EC19862B2F}">
  <sheetPr codeName="Sheet5"/>
  <dimension ref="C1:DL24"/>
  <sheetViews>
    <sheetView topLeftCell="A12" workbookViewId="0">
      <selection activeCell="T24" sqref="T24"/>
    </sheetView>
  </sheetViews>
  <sheetFormatPr defaultRowHeight="15" x14ac:dyDescent="0.25"/>
  <cols>
    <col min="3" max="3" width="29" bestFit="1" customWidth="1"/>
    <col min="4" max="4" width="27.5703125" bestFit="1" customWidth="1"/>
    <col min="5" max="5" width="17.85546875" bestFit="1" customWidth="1"/>
    <col min="6" max="6" width="33.5703125" bestFit="1" customWidth="1"/>
    <col min="8" max="8" width="28.42578125" customWidth="1"/>
    <col min="9" max="9" width="23.85546875" customWidth="1"/>
    <col min="10" max="10" width="30.7109375" customWidth="1"/>
    <col min="11" max="11" width="45" customWidth="1"/>
    <col min="12" max="12" width="26.140625" customWidth="1"/>
    <col min="13" max="13" width="25.85546875" customWidth="1"/>
    <col min="19" max="19" width="26.140625" customWidth="1"/>
    <col min="20" max="20" width="40.28515625" customWidth="1"/>
    <col min="21" max="21" width="33.28515625" customWidth="1"/>
    <col min="22" max="22" width="37" customWidth="1"/>
    <col min="23" max="23" width="68.7109375" customWidth="1"/>
  </cols>
  <sheetData>
    <row r="1" spans="3:116" x14ac:dyDescent="0.25">
      <c r="C1" s="3"/>
      <c r="D1" s="3"/>
      <c r="E1" s="3"/>
      <c r="F1" s="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2" spans="3:116" x14ac:dyDescent="0.25">
      <c r="C2" s="3"/>
      <c r="D2" s="3"/>
      <c r="E2" s="3"/>
      <c r="F2" s="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</row>
    <row r="3" spans="3:116" x14ac:dyDescent="0.25">
      <c r="C3" s="163" t="s">
        <v>178</v>
      </c>
      <c r="D3" s="164"/>
      <c r="E3" s="164"/>
      <c r="F3" s="16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4" spans="3:116" x14ac:dyDescent="0.25">
      <c r="C4" s="164"/>
      <c r="D4" s="164"/>
      <c r="E4" s="164"/>
      <c r="F4" s="164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</row>
    <row r="5" spans="3:116" x14ac:dyDescent="0.25">
      <c r="C5" s="3"/>
      <c r="D5" s="3"/>
      <c r="E5" s="3"/>
      <c r="F5" s="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</row>
    <row r="6" spans="3:116" x14ac:dyDescent="0.25">
      <c r="C6" s="3"/>
      <c r="D6" s="3"/>
      <c r="E6" s="3"/>
      <c r="F6" s="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</row>
    <row r="7" spans="3:116" x14ac:dyDescent="0.25">
      <c r="C7" s="3"/>
      <c r="D7" s="3"/>
      <c r="E7" s="3"/>
      <c r="F7" s="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3:116" s="8" customFormat="1" ht="18" x14ac:dyDescent="0.25">
      <c r="C8" s="7" t="s">
        <v>56</v>
      </c>
      <c r="D8" s="7" t="s">
        <v>57</v>
      </c>
      <c r="E8" s="7" t="s">
        <v>59</v>
      </c>
      <c r="F8" s="7" t="s">
        <v>58</v>
      </c>
      <c r="H8" s="7" t="s">
        <v>78</v>
      </c>
      <c r="I8" s="7" t="s">
        <v>61</v>
      </c>
      <c r="J8" s="7" t="s">
        <v>67</v>
      </c>
      <c r="K8" s="7" t="s">
        <v>72</v>
      </c>
      <c r="L8" s="7" t="s">
        <v>79</v>
      </c>
      <c r="S8" s="56" t="s">
        <v>112</v>
      </c>
      <c r="T8" s="56" t="s">
        <v>113</v>
      </c>
      <c r="U8" s="56" t="s">
        <v>114</v>
      </c>
      <c r="V8" s="56" t="s">
        <v>115</v>
      </c>
      <c r="W8" s="56" t="s">
        <v>116</v>
      </c>
    </row>
    <row r="9" spans="3:116" ht="15.75" customHeight="1" x14ac:dyDescent="0.3">
      <c r="C9" s="1">
        <v>1500</v>
      </c>
      <c r="D9" s="20" t="s">
        <v>9</v>
      </c>
      <c r="E9" s="1">
        <v>24</v>
      </c>
      <c r="F9" s="1">
        <v>16</v>
      </c>
      <c r="H9" s="25" t="s">
        <v>61</v>
      </c>
      <c r="I9" s="25" t="s">
        <v>79</v>
      </c>
      <c r="J9" s="26" t="s">
        <v>68</v>
      </c>
      <c r="K9" s="26" t="s">
        <v>73</v>
      </c>
      <c r="L9" s="25" t="s">
        <v>62</v>
      </c>
      <c r="S9" s="54" t="s">
        <v>117</v>
      </c>
      <c r="T9" s="54" t="s">
        <v>119</v>
      </c>
      <c r="U9" s="54" t="s">
        <v>133</v>
      </c>
      <c r="V9" s="54" t="s">
        <v>135</v>
      </c>
      <c r="W9" s="54" t="s">
        <v>141</v>
      </c>
      <c r="DL9" t="s">
        <v>127</v>
      </c>
    </row>
    <row r="10" spans="3:116" ht="18.75" x14ac:dyDescent="0.3">
      <c r="H10" s="25" t="s">
        <v>67</v>
      </c>
      <c r="I10" s="25" t="s">
        <v>65</v>
      </c>
      <c r="J10" s="26" t="s">
        <v>69</v>
      </c>
      <c r="K10" s="25" t="s">
        <v>80</v>
      </c>
      <c r="L10" s="25" t="s">
        <v>63</v>
      </c>
      <c r="S10" s="54" t="s">
        <v>118</v>
      </c>
      <c r="T10" s="54" t="s">
        <v>120</v>
      </c>
      <c r="U10" s="54" t="s">
        <v>134</v>
      </c>
      <c r="V10" s="54" t="s">
        <v>136</v>
      </c>
      <c r="W10" s="54" t="s">
        <v>142</v>
      </c>
    </row>
    <row r="11" spans="3:116" ht="15.75" customHeight="1" x14ac:dyDescent="0.3">
      <c r="H11" s="25" t="s">
        <v>72</v>
      </c>
      <c r="I11" s="25" t="s">
        <v>66</v>
      </c>
      <c r="J11" s="26" t="s">
        <v>70</v>
      </c>
      <c r="K11" s="26" t="s">
        <v>74</v>
      </c>
      <c r="L11" s="25" t="s">
        <v>64</v>
      </c>
      <c r="S11" s="54"/>
      <c r="T11" s="54" t="s">
        <v>121</v>
      </c>
      <c r="U11" s="54"/>
      <c r="V11" s="55" t="s">
        <v>137</v>
      </c>
      <c r="W11" s="54" t="s">
        <v>143</v>
      </c>
    </row>
    <row r="12" spans="3:116" ht="18.75" x14ac:dyDescent="0.3">
      <c r="H12" s="1"/>
      <c r="I12" s="1"/>
      <c r="J12" s="26" t="s">
        <v>71</v>
      </c>
      <c r="K12" s="26" t="s">
        <v>75</v>
      </c>
      <c r="L12" s="1"/>
      <c r="S12" s="54"/>
      <c r="T12" s="54" t="s">
        <v>122</v>
      </c>
      <c r="U12" s="54"/>
      <c r="V12" s="54" t="s">
        <v>138</v>
      </c>
      <c r="W12" s="54" t="s">
        <v>144</v>
      </c>
    </row>
    <row r="13" spans="3:116" ht="18.75" x14ac:dyDescent="0.3">
      <c r="H13" s="1"/>
      <c r="I13" s="1"/>
      <c r="J13" s="1"/>
      <c r="K13" s="26" t="s">
        <v>76</v>
      </c>
      <c r="L13" s="1"/>
      <c r="S13" s="54"/>
      <c r="T13" s="55" t="s">
        <v>130</v>
      </c>
      <c r="U13" s="54"/>
      <c r="V13" s="54" t="s">
        <v>139</v>
      </c>
      <c r="W13" s="54" t="s">
        <v>145</v>
      </c>
    </row>
    <row r="14" spans="3:116" ht="18.75" x14ac:dyDescent="0.3">
      <c r="H14" s="1"/>
      <c r="I14" s="1"/>
      <c r="J14" s="1"/>
      <c r="K14" s="26" t="s">
        <v>77</v>
      </c>
      <c r="L14" s="1"/>
      <c r="S14" s="54"/>
      <c r="T14" s="54" t="s">
        <v>123</v>
      </c>
      <c r="U14" s="54"/>
      <c r="V14" s="54" t="s">
        <v>140</v>
      </c>
      <c r="W14" s="54" t="s">
        <v>146</v>
      </c>
    </row>
    <row r="15" spans="3:116" ht="18.75" x14ac:dyDescent="0.3">
      <c r="S15" s="54"/>
      <c r="T15" s="55" t="s">
        <v>128</v>
      </c>
      <c r="U15" s="54"/>
      <c r="V15" s="54"/>
      <c r="W15" s="54" t="s">
        <v>147</v>
      </c>
    </row>
    <row r="16" spans="3:116" ht="18.75" x14ac:dyDescent="0.3">
      <c r="S16" s="54"/>
      <c r="T16" s="55" t="s">
        <v>129</v>
      </c>
      <c r="U16" s="54"/>
      <c r="V16" s="54"/>
      <c r="W16" s="54" t="s">
        <v>148</v>
      </c>
    </row>
    <row r="17" spans="8:23" ht="18.75" x14ac:dyDescent="0.3">
      <c r="S17" s="54"/>
      <c r="T17" s="55" t="s">
        <v>124</v>
      </c>
      <c r="U17" s="54"/>
      <c r="V17" s="54"/>
      <c r="W17" s="54" t="s">
        <v>149</v>
      </c>
    </row>
    <row r="18" spans="8:23" ht="18.75" x14ac:dyDescent="0.3">
      <c r="S18" s="54"/>
      <c r="T18" s="55" t="s">
        <v>132</v>
      </c>
      <c r="U18" s="54"/>
      <c r="V18" s="54"/>
      <c r="W18" s="54"/>
    </row>
    <row r="19" spans="8:23" ht="18.75" x14ac:dyDescent="0.3">
      <c r="S19" s="54"/>
      <c r="T19" s="55" t="s">
        <v>131</v>
      </c>
      <c r="U19" s="54"/>
      <c r="V19" s="54"/>
      <c r="W19" s="54"/>
    </row>
    <row r="20" spans="8:23" ht="18.75" x14ac:dyDescent="0.3">
      <c r="S20" s="54"/>
      <c r="T20" s="55" t="s">
        <v>125</v>
      </c>
      <c r="U20" s="54"/>
      <c r="V20" s="54"/>
      <c r="W20" s="54"/>
    </row>
    <row r="21" spans="8:23" ht="18.75" x14ac:dyDescent="0.3">
      <c r="I21" s="31"/>
      <c r="J21" s="32"/>
      <c r="K21" s="32"/>
      <c r="S21" s="54"/>
      <c r="T21" s="55" t="s">
        <v>126</v>
      </c>
      <c r="U21" s="54"/>
      <c r="V21" s="54"/>
      <c r="W21" s="54"/>
    </row>
    <row r="23" spans="8:23" x14ac:dyDescent="0.25">
      <c r="H23" s="79"/>
      <c r="I23" s="64"/>
      <c r="J23" s="64"/>
      <c r="K23" s="64"/>
      <c r="L23" s="64"/>
      <c r="M23" s="64"/>
      <c r="N23" s="64"/>
      <c r="O23" s="64"/>
      <c r="P23" s="65"/>
      <c r="Q23" s="65"/>
      <c r="R23" s="65"/>
    </row>
    <row r="24" spans="8:23" x14ac:dyDescent="0.25">
      <c r="H24" s="31"/>
      <c r="J24" s="32"/>
      <c r="P24" s="32"/>
      <c r="Q24" s="32"/>
      <c r="R24" s="32"/>
    </row>
  </sheetData>
  <mergeCells count="1">
    <mergeCell ref="C3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48129-5BCC-4607-BE63-9874D41D3597}">
  <sheetPr codeName="Sheet4"/>
  <dimension ref="C1:O9"/>
  <sheetViews>
    <sheetView zoomScale="73" workbookViewId="0">
      <selection activeCell="G14" sqref="G14"/>
    </sheetView>
  </sheetViews>
  <sheetFormatPr defaultRowHeight="15" x14ac:dyDescent="0.25"/>
  <cols>
    <col min="3" max="3" width="8.42578125" bestFit="1" customWidth="1"/>
    <col min="4" max="4" width="29.85546875" bestFit="1" customWidth="1"/>
    <col min="5" max="5" width="35.42578125" bestFit="1" customWidth="1"/>
    <col min="6" max="6" width="35.7109375" bestFit="1" customWidth="1"/>
    <col min="7" max="7" width="39.7109375" bestFit="1" customWidth="1"/>
    <col min="8" max="8" width="23" bestFit="1" customWidth="1"/>
    <col min="9" max="9" width="24.42578125" bestFit="1" customWidth="1"/>
    <col min="10" max="10" width="33.5703125" bestFit="1" customWidth="1"/>
    <col min="11" max="11" width="45" bestFit="1" customWidth="1"/>
    <col min="12" max="12" width="17.140625" bestFit="1" customWidth="1"/>
    <col min="13" max="13" width="14.28515625" bestFit="1" customWidth="1"/>
    <col min="14" max="14" width="19" bestFit="1" customWidth="1"/>
    <col min="15" max="15" width="14.5703125" bestFit="1" customWidth="1"/>
  </cols>
  <sheetData>
    <row r="1" spans="3:15" x14ac:dyDescent="0.25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3:15" x14ac:dyDescent="0.25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3:15" x14ac:dyDescent="0.25">
      <c r="C3" s="163" t="s">
        <v>15</v>
      </c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</row>
    <row r="4" spans="3:15" x14ac:dyDescent="0.25"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</row>
    <row r="5" spans="3:15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3:15" ht="15.75" thickBot="1" x14ac:dyDescent="0.3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3:15" ht="27" customHeight="1" thickBot="1" x14ac:dyDescent="0.3">
      <c r="C7" s="66" t="s">
        <v>167</v>
      </c>
      <c r="D7" s="165" t="s">
        <v>188</v>
      </c>
      <c r="E7" s="168"/>
      <c r="F7" s="165" t="s">
        <v>189</v>
      </c>
      <c r="G7" s="169"/>
      <c r="H7" s="165" t="s">
        <v>168</v>
      </c>
      <c r="I7" s="166"/>
      <c r="J7" s="167"/>
      <c r="K7" s="67" t="s">
        <v>169</v>
      </c>
      <c r="L7" s="165" t="s">
        <v>170</v>
      </c>
      <c r="M7" s="168"/>
      <c r="N7" s="168"/>
      <c r="O7" s="169"/>
    </row>
    <row r="8" spans="3:15" s="70" customFormat="1" ht="33" customHeight="1" thickBot="1" x14ac:dyDescent="0.3">
      <c r="C8" s="84" t="s">
        <v>165</v>
      </c>
      <c r="D8" s="85" t="s">
        <v>190</v>
      </c>
      <c r="E8" s="85" t="s">
        <v>191</v>
      </c>
      <c r="F8" s="86" t="s">
        <v>192</v>
      </c>
      <c r="G8" s="87" t="s">
        <v>193</v>
      </c>
      <c r="H8" s="88" t="s">
        <v>36</v>
      </c>
      <c r="I8" s="89" t="s">
        <v>37</v>
      </c>
      <c r="J8" s="87" t="s">
        <v>34</v>
      </c>
      <c r="K8" s="69" t="s">
        <v>180</v>
      </c>
      <c r="L8" s="88" t="s">
        <v>7</v>
      </c>
      <c r="M8" s="89" t="s">
        <v>8</v>
      </c>
      <c r="N8" s="89" t="s">
        <v>35</v>
      </c>
      <c r="O8" s="68" t="s">
        <v>166</v>
      </c>
    </row>
    <row r="9" spans="3:15" x14ac:dyDescent="0.25">
      <c r="C9" s="2"/>
      <c r="D9" s="32"/>
      <c r="E9" s="32"/>
      <c r="F9" s="32"/>
      <c r="G9" s="32"/>
      <c r="J9" s="32"/>
      <c r="K9" s="32"/>
      <c r="L9" s="32"/>
      <c r="M9" s="32"/>
      <c r="N9" s="32"/>
      <c r="O9" s="32"/>
    </row>
  </sheetData>
  <mergeCells count="5">
    <mergeCell ref="C3:O4"/>
    <mergeCell ref="H7:J7"/>
    <mergeCell ref="L7:O7"/>
    <mergeCell ref="D7:E7"/>
    <mergeCell ref="F7:G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F797-6C47-419D-9CAD-53CF010B95EB}">
  <sheetPr codeName="Sheet7"/>
  <dimension ref="C1:K28"/>
  <sheetViews>
    <sheetView workbookViewId="0">
      <selection activeCell="J10" sqref="J10"/>
    </sheetView>
  </sheetViews>
  <sheetFormatPr defaultRowHeight="15" x14ac:dyDescent="0.25"/>
  <cols>
    <col min="3" max="3" width="12" bestFit="1" customWidth="1"/>
    <col min="4" max="4" width="9" customWidth="1"/>
    <col min="5" max="5" width="18.140625" bestFit="1" customWidth="1"/>
    <col min="6" max="6" width="24" bestFit="1" customWidth="1"/>
    <col min="7" max="7" width="9.28515625" bestFit="1" customWidth="1"/>
    <col min="8" max="8" width="13.85546875" bestFit="1" customWidth="1"/>
    <col min="9" max="9" width="9" bestFit="1" customWidth="1"/>
    <col min="10" max="10" width="9.28515625" bestFit="1" customWidth="1"/>
    <col min="11" max="11" width="9" bestFit="1" customWidth="1"/>
  </cols>
  <sheetData>
    <row r="1" spans="3:11" x14ac:dyDescent="0.25">
      <c r="C1" s="10"/>
      <c r="D1" s="11"/>
      <c r="E1" s="11"/>
      <c r="F1" s="11"/>
      <c r="G1" s="11"/>
      <c r="H1" s="11"/>
      <c r="I1" s="11"/>
      <c r="J1" s="11"/>
      <c r="K1" s="11"/>
    </row>
    <row r="2" spans="3:11" x14ac:dyDescent="0.25">
      <c r="C2" s="147" t="s">
        <v>11</v>
      </c>
      <c r="D2" s="148"/>
      <c r="E2" s="148"/>
      <c r="F2" s="148"/>
      <c r="G2" s="148"/>
      <c r="H2" s="148"/>
      <c r="I2" s="148"/>
      <c r="J2" s="148"/>
      <c r="K2" s="148"/>
    </row>
    <row r="3" spans="3:11" x14ac:dyDescent="0.25">
      <c r="C3" s="147"/>
      <c r="D3" s="148"/>
      <c r="E3" s="148"/>
      <c r="F3" s="148"/>
      <c r="G3" s="148"/>
      <c r="H3" s="148"/>
      <c r="I3" s="148"/>
      <c r="J3" s="148"/>
      <c r="K3" s="148"/>
    </row>
    <row r="4" spans="3:11" x14ac:dyDescent="0.25">
      <c r="C4" s="13"/>
      <c r="D4" s="14"/>
      <c r="E4" s="14"/>
      <c r="F4" s="14"/>
      <c r="G4" s="14"/>
      <c r="H4" s="14"/>
      <c r="I4" s="14"/>
      <c r="J4" s="14"/>
      <c r="K4" s="14"/>
    </row>
    <row r="5" spans="3:11" x14ac:dyDescent="0.25">
      <c r="C5" s="13"/>
      <c r="D5" s="14"/>
      <c r="E5" s="14"/>
      <c r="F5" s="14"/>
      <c r="G5" s="14"/>
      <c r="H5" s="14"/>
      <c r="I5" s="14"/>
      <c r="J5" s="14"/>
      <c r="K5" s="14"/>
    </row>
    <row r="6" spans="3:11" x14ac:dyDescent="0.25">
      <c r="C6" s="1" t="s">
        <v>55</v>
      </c>
      <c r="D6" s="1" t="s">
        <v>43</v>
      </c>
      <c r="E6" s="1" t="s">
        <v>43</v>
      </c>
      <c r="F6" s="1" t="s">
        <v>43</v>
      </c>
      <c r="G6" s="1" t="s">
        <v>43</v>
      </c>
      <c r="H6" s="1" t="s">
        <v>43</v>
      </c>
      <c r="I6" s="1" t="s">
        <v>43</v>
      </c>
      <c r="J6" s="1" t="s">
        <v>43</v>
      </c>
      <c r="K6" s="1" t="s">
        <v>43</v>
      </c>
    </row>
    <row r="7" spans="3:11" x14ac:dyDescent="0.25">
      <c r="C7" s="19" t="s">
        <v>3</v>
      </c>
      <c r="D7" s="19" t="s">
        <v>47</v>
      </c>
      <c r="E7" s="19" t="s">
        <v>48</v>
      </c>
      <c r="F7" s="19" t="s">
        <v>49</v>
      </c>
      <c r="G7" s="19" t="s">
        <v>50</v>
      </c>
      <c r="H7" s="19" t="s">
        <v>54</v>
      </c>
      <c r="I7" s="19" t="s">
        <v>51</v>
      </c>
      <c r="J7" s="19" t="s">
        <v>52</v>
      </c>
      <c r="K7" s="19" t="s">
        <v>53</v>
      </c>
    </row>
    <row r="8" spans="3:11" x14ac:dyDescent="0.25">
      <c r="C8" s="21"/>
      <c r="D8" s="7"/>
      <c r="E8" s="7"/>
      <c r="F8" s="7"/>
      <c r="G8" s="7"/>
      <c r="H8" s="7"/>
      <c r="I8" s="7"/>
      <c r="J8" s="7"/>
      <c r="K8" s="7"/>
    </row>
    <row r="9" spans="3:11" x14ac:dyDescent="0.25">
      <c r="C9" s="1"/>
      <c r="D9" s="1"/>
      <c r="E9" s="1"/>
      <c r="F9" s="1"/>
      <c r="G9" s="1"/>
      <c r="H9" s="1"/>
      <c r="I9" s="1"/>
      <c r="J9" s="1"/>
      <c r="K9" s="1"/>
    </row>
    <row r="10" spans="3:11" x14ac:dyDescent="0.25">
      <c r="C10" s="1"/>
      <c r="D10" s="1"/>
      <c r="E10" s="1"/>
      <c r="F10" s="1"/>
      <c r="G10" s="1"/>
      <c r="H10" s="1"/>
      <c r="I10" s="1"/>
      <c r="J10" s="1"/>
      <c r="K10" s="1"/>
    </row>
    <row r="11" spans="3:11" x14ac:dyDescent="0.25">
      <c r="C11" s="1"/>
      <c r="D11" s="1"/>
      <c r="E11" s="1"/>
      <c r="F11" s="1"/>
      <c r="G11" s="1"/>
      <c r="H11" s="1"/>
      <c r="I11" s="1"/>
      <c r="J11" s="1"/>
      <c r="K11" s="1"/>
    </row>
    <row r="12" spans="3:11" x14ac:dyDescent="0.25">
      <c r="C12" s="1"/>
      <c r="D12" s="1"/>
      <c r="E12" s="1"/>
      <c r="F12" s="1"/>
      <c r="G12" s="1"/>
      <c r="H12" s="1"/>
      <c r="I12" s="1"/>
      <c r="J12" s="1"/>
      <c r="K12" s="1"/>
    </row>
    <row r="13" spans="3:11" x14ac:dyDescent="0.25">
      <c r="C13" s="1"/>
      <c r="D13" s="1"/>
      <c r="E13" s="1"/>
      <c r="F13" s="1"/>
      <c r="G13" s="1"/>
      <c r="H13" s="1"/>
      <c r="I13" s="1"/>
      <c r="J13" s="1"/>
      <c r="K13" s="1"/>
    </row>
    <row r="14" spans="3:11" x14ac:dyDescent="0.25">
      <c r="C14" s="1"/>
      <c r="D14" s="1"/>
      <c r="E14" s="1"/>
      <c r="F14" s="1"/>
      <c r="G14" s="1"/>
      <c r="H14" s="1"/>
      <c r="I14" s="1"/>
      <c r="J14" s="1"/>
      <c r="K14" s="1"/>
    </row>
    <row r="15" spans="3:11" x14ac:dyDescent="0.25">
      <c r="C15" s="1"/>
      <c r="D15" s="1"/>
      <c r="E15" s="1"/>
      <c r="F15" s="1"/>
      <c r="G15" s="1"/>
      <c r="H15" s="1"/>
      <c r="I15" s="1"/>
      <c r="J15" s="1"/>
      <c r="K15" s="1"/>
    </row>
    <row r="16" spans="3:11" x14ac:dyDescent="0.25">
      <c r="C16" s="1"/>
      <c r="D16" s="1"/>
      <c r="E16" s="1"/>
      <c r="F16" s="1"/>
      <c r="G16" s="1"/>
      <c r="H16" s="1"/>
      <c r="I16" s="1"/>
      <c r="J16" s="1"/>
      <c r="K16" s="1"/>
    </row>
    <row r="17" spans="3:11" x14ac:dyDescent="0.25">
      <c r="C17" s="1"/>
      <c r="D17" s="1"/>
      <c r="E17" s="1"/>
      <c r="F17" s="1"/>
      <c r="G17" s="1"/>
      <c r="H17" s="1"/>
      <c r="I17" s="1"/>
      <c r="J17" s="1"/>
      <c r="K17" s="1"/>
    </row>
    <row r="18" spans="3:11" x14ac:dyDescent="0.25">
      <c r="C18" s="1"/>
      <c r="D18" s="1"/>
      <c r="E18" s="1"/>
      <c r="F18" s="1"/>
      <c r="G18" s="1"/>
      <c r="H18" s="1"/>
      <c r="I18" s="1"/>
      <c r="J18" s="1"/>
      <c r="K18" s="1"/>
    </row>
    <row r="19" spans="3:11" x14ac:dyDescent="0.25">
      <c r="C19" s="1"/>
      <c r="D19" s="1"/>
      <c r="E19" s="1"/>
      <c r="F19" s="1"/>
      <c r="G19" s="1"/>
      <c r="H19" s="1"/>
      <c r="I19" s="1"/>
      <c r="J19" s="1"/>
      <c r="K19" s="1"/>
    </row>
    <row r="20" spans="3:11" x14ac:dyDescent="0.25">
      <c r="C20" s="1"/>
      <c r="D20" s="1"/>
      <c r="E20" s="1"/>
      <c r="F20" s="1"/>
      <c r="G20" s="1"/>
      <c r="H20" s="1"/>
      <c r="I20" s="1"/>
      <c r="J20" s="1"/>
      <c r="K20" s="1"/>
    </row>
    <row r="21" spans="3:11" x14ac:dyDescent="0.25">
      <c r="C21" s="1"/>
      <c r="D21" s="1"/>
      <c r="E21" s="1"/>
      <c r="F21" s="1"/>
      <c r="G21" s="1"/>
      <c r="H21" s="1"/>
      <c r="I21" s="1"/>
      <c r="J21" s="1"/>
      <c r="K21" s="1"/>
    </row>
    <row r="22" spans="3:11" x14ac:dyDescent="0.25">
      <c r="C22" s="1"/>
      <c r="D22" s="1"/>
      <c r="E22" s="1"/>
      <c r="F22" s="1"/>
      <c r="G22" s="1"/>
      <c r="H22" s="1"/>
      <c r="I22" s="1"/>
      <c r="J22" s="1"/>
      <c r="K22" s="1"/>
    </row>
    <row r="23" spans="3:11" x14ac:dyDescent="0.25">
      <c r="C23" s="1"/>
      <c r="D23" s="1"/>
      <c r="E23" s="1"/>
      <c r="F23" s="1"/>
      <c r="G23" s="1"/>
      <c r="H23" s="1"/>
      <c r="I23" s="1"/>
      <c r="J23" s="1"/>
      <c r="K23" s="1"/>
    </row>
    <row r="24" spans="3:11" x14ac:dyDescent="0.25">
      <c r="C24" s="1"/>
      <c r="D24" s="1"/>
      <c r="E24" s="1"/>
      <c r="F24" s="1"/>
      <c r="G24" s="1"/>
      <c r="H24" s="1"/>
      <c r="I24" s="1"/>
      <c r="J24" s="1"/>
      <c r="K24" s="1"/>
    </row>
    <row r="25" spans="3:11" x14ac:dyDescent="0.25">
      <c r="C25" s="1"/>
      <c r="D25" s="1"/>
      <c r="E25" s="1"/>
      <c r="F25" s="1"/>
      <c r="G25" s="1"/>
      <c r="H25" s="1"/>
      <c r="I25" s="1"/>
      <c r="J25" s="1"/>
      <c r="K25" s="1"/>
    </row>
    <row r="26" spans="3:11" x14ac:dyDescent="0.25">
      <c r="C26" s="1"/>
      <c r="D26" s="1"/>
      <c r="E26" s="1"/>
      <c r="F26" s="1"/>
      <c r="G26" s="1"/>
      <c r="H26" s="1"/>
      <c r="I26" s="1"/>
      <c r="J26" s="1"/>
      <c r="K26" s="1"/>
    </row>
    <row r="27" spans="3:11" x14ac:dyDescent="0.25">
      <c r="C27" s="1"/>
      <c r="D27" s="1"/>
      <c r="E27" s="1"/>
      <c r="F27" s="1"/>
      <c r="G27" s="1"/>
      <c r="H27" s="1"/>
      <c r="I27" s="1"/>
      <c r="J27" s="1"/>
      <c r="K27" s="1"/>
    </row>
    <row r="28" spans="3:11" x14ac:dyDescent="0.25">
      <c r="C28" s="1"/>
      <c r="D28" s="1"/>
      <c r="E28" s="1"/>
      <c r="F28" s="1"/>
      <c r="G28" s="1"/>
      <c r="H28" s="1"/>
      <c r="I28" s="1"/>
      <c r="J28" s="1"/>
      <c r="K28" s="1"/>
    </row>
  </sheetData>
  <mergeCells count="1">
    <mergeCell ref="C2:K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CA14-EC89-4F31-A1F0-8DBF513135EA}">
  <sheetPr codeName="Sheet6"/>
  <dimension ref="C1:I28"/>
  <sheetViews>
    <sheetView topLeftCell="A3" workbookViewId="0">
      <selection activeCell="D8" sqref="D8"/>
    </sheetView>
  </sheetViews>
  <sheetFormatPr defaultRowHeight="15" x14ac:dyDescent="0.25"/>
  <cols>
    <col min="3" max="3" width="15.140625" customWidth="1"/>
    <col min="4" max="4" width="13.140625" bestFit="1" customWidth="1"/>
    <col min="5" max="5" width="19.28515625" customWidth="1"/>
    <col min="6" max="6" width="22.42578125" customWidth="1"/>
    <col min="7" max="7" width="20.140625" bestFit="1" customWidth="1"/>
    <col min="8" max="8" width="9.5703125" bestFit="1" customWidth="1"/>
    <col min="9" max="9" width="23.7109375" bestFit="1" customWidth="1"/>
    <col min="10" max="10" width="9" bestFit="1" customWidth="1"/>
    <col min="11" max="11" width="18.140625" bestFit="1" customWidth="1"/>
    <col min="12" max="12" width="24" bestFit="1" customWidth="1"/>
    <col min="13" max="13" width="9.28515625" bestFit="1" customWidth="1"/>
    <col min="14" max="14" width="13.85546875" bestFit="1" customWidth="1"/>
    <col min="15" max="15" width="9" bestFit="1" customWidth="1"/>
    <col min="16" max="16" width="9.28515625" bestFit="1" customWidth="1"/>
    <col min="17" max="17" width="9" bestFit="1" customWidth="1"/>
    <col min="18" max="18" width="29.28515625" bestFit="1" customWidth="1"/>
  </cols>
  <sheetData>
    <row r="1" spans="3:9" x14ac:dyDescent="0.25">
      <c r="C1" s="10"/>
      <c r="D1" s="11"/>
      <c r="E1" s="11"/>
      <c r="F1" s="11"/>
      <c r="G1" s="11"/>
      <c r="H1" s="11"/>
      <c r="I1" s="11"/>
    </row>
    <row r="2" spans="3:9" ht="15" customHeight="1" x14ac:dyDescent="0.25">
      <c r="C2" s="147" t="s">
        <v>10</v>
      </c>
      <c r="D2" s="148"/>
      <c r="E2" s="148"/>
      <c r="F2" s="148"/>
      <c r="G2" s="148"/>
      <c r="H2" s="148"/>
      <c r="I2" s="148"/>
    </row>
    <row r="3" spans="3:9" ht="15" customHeight="1" x14ac:dyDescent="0.25">
      <c r="C3" s="147"/>
      <c r="D3" s="148"/>
      <c r="E3" s="148"/>
      <c r="F3" s="148"/>
      <c r="G3" s="148"/>
      <c r="H3" s="148"/>
      <c r="I3" s="148"/>
    </row>
    <row r="4" spans="3:9" x14ac:dyDescent="0.25">
      <c r="C4" s="13"/>
      <c r="D4" s="14"/>
      <c r="E4" s="14"/>
      <c r="F4" s="14"/>
      <c r="G4" s="14"/>
      <c r="H4" s="14"/>
      <c r="I4" s="14"/>
    </row>
    <row r="5" spans="3:9" x14ac:dyDescent="0.25">
      <c r="C5" s="13"/>
      <c r="D5" s="14"/>
      <c r="E5" s="14"/>
      <c r="F5" s="14"/>
      <c r="G5" s="14"/>
      <c r="H5" s="14"/>
      <c r="I5" s="14"/>
    </row>
    <row r="6" spans="3:9" x14ac:dyDescent="0.25">
      <c r="C6" s="1" t="s">
        <v>55</v>
      </c>
      <c r="D6" s="1" t="s">
        <v>60</v>
      </c>
      <c r="E6" s="1" t="s">
        <v>60</v>
      </c>
      <c r="F6" s="1" t="s">
        <v>39</v>
      </c>
      <c r="G6" s="1"/>
      <c r="H6" s="1" t="s">
        <v>43</v>
      </c>
      <c r="I6" s="1" t="s">
        <v>44</v>
      </c>
    </row>
    <row r="7" spans="3:9" x14ac:dyDescent="0.25">
      <c r="C7" s="9" t="s">
        <v>3</v>
      </c>
      <c r="D7" s="19" t="s">
        <v>38</v>
      </c>
      <c r="E7" s="19" t="s">
        <v>40</v>
      </c>
      <c r="F7" s="19" t="s">
        <v>41</v>
      </c>
      <c r="G7" s="19" t="s">
        <v>46</v>
      </c>
      <c r="H7" s="19" t="s">
        <v>42</v>
      </c>
      <c r="I7" s="19" t="s">
        <v>45</v>
      </c>
    </row>
    <row r="8" spans="3:9" x14ac:dyDescent="0.25">
      <c r="C8" s="21"/>
      <c r="D8" s="7"/>
      <c r="E8" s="7"/>
      <c r="F8" s="7"/>
      <c r="G8" s="7"/>
      <c r="H8" s="7"/>
      <c r="I8" s="7"/>
    </row>
    <row r="9" spans="3:9" x14ac:dyDescent="0.25">
      <c r="C9" s="4"/>
      <c r="D9" s="1"/>
      <c r="E9" s="1"/>
      <c r="F9" s="1"/>
      <c r="G9" s="1"/>
      <c r="H9" s="1"/>
      <c r="I9" s="1"/>
    </row>
    <row r="10" spans="3:9" x14ac:dyDescent="0.25">
      <c r="C10" s="1"/>
      <c r="D10" s="1"/>
      <c r="E10" s="1"/>
      <c r="F10" s="1"/>
      <c r="G10" s="1"/>
      <c r="H10" s="1"/>
      <c r="I10" s="1"/>
    </row>
    <row r="11" spans="3:9" x14ac:dyDescent="0.25">
      <c r="C11" s="1"/>
      <c r="D11" s="1"/>
      <c r="E11" s="1"/>
      <c r="F11" s="1"/>
      <c r="G11" s="1"/>
      <c r="H11" s="1"/>
      <c r="I11" s="1"/>
    </row>
    <row r="12" spans="3:9" x14ac:dyDescent="0.25">
      <c r="C12" s="1"/>
      <c r="D12" s="1"/>
      <c r="E12" s="1"/>
      <c r="F12" s="1"/>
      <c r="G12" s="1"/>
      <c r="H12" s="1"/>
      <c r="I12" s="1"/>
    </row>
    <row r="13" spans="3:9" x14ac:dyDescent="0.25">
      <c r="C13" s="1"/>
      <c r="D13" s="1"/>
      <c r="E13" s="1"/>
      <c r="F13" s="1"/>
      <c r="G13" s="1"/>
      <c r="H13" s="1"/>
      <c r="I13" s="1"/>
    </row>
    <row r="14" spans="3:9" x14ac:dyDescent="0.25">
      <c r="C14" s="1"/>
      <c r="D14" s="1"/>
      <c r="E14" s="1"/>
      <c r="F14" s="1"/>
      <c r="G14" s="1"/>
      <c r="H14" s="1"/>
      <c r="I14" s="1"/>
    </row>
    <row r="15" spans="3:9" x14ac:dyDescent="0.25">
      <c r="C15" s="1"/>
      <c r="D15" s="1"/>
      <c r="E15" s="1"/>
      <c r="F15" s="1"/>
      <c r="G15" s="1"/>
      <c r="H15" s="1"/>
      <c r="I15" s="1"/>
    </row>
    <row r="16" spans="3:9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</sheetData>
  <mergeCells count="1">
    <mergeCell ref="C2:I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0319D-AB84-4891-91A5-6CA93E653B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Formulaire_Sacs_Produit</vt:lpstr>
      <vt:lpstr>Formulaire_Arrets_Planifier</vt:lpstr>
      <vt:lpstr>Formulaire_Arrets_Non_Planifier</vt:lpstr>
      <vt:lpstr>Sacs_Produit</vt:lpstr>
      <vt:lpstr>Arrets_Planifier</vt:lpstr>
      <vt:lpstr>Arrets_Non_Planifier</vt:lpstr>
      <vt:lpstr>Donnees</vt:lpstr>
      <vt:lpstr>Cycle_Production</vt:lpstr>
      <vt:lpstr>KPIs_Production</vt:lpstr>
      <vt:lpstr>KPIs_Maintenance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rachid kherbech</dc:creator>
  <cp:lastModifiedBy>rachid kherbech</cp:lastModifiedBy>
  <dcterms:created xsi:type="dcterms:W3CDTF">2025-06-10T01:17:32Z</dcterms:created>
  <dcterms:modified xsi:type="dcterms:W3CDTF">2025-12-07T15:37:39Z</dcterms:modified>
</cp:coreProperties>
</file>